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809" firstSheet="0" activeTab="1"/>
  </bookViews>
  <sheets>
    <sheet name="Assumptions" sheetId="1" state="visible" r:id="rId3"/>
    <sheet name="Proposed Loan Details" sheetId="2" state="visible" r:id="rId4"/>
    <sheet name="1st Year Projections" sheetId="3" state="visible" r:id="rId5"/>
    <sheet name="Payroll" sheetId="4" state="visible" r:id="rId6"/>
    <sheet name="Cash Flow 1st Year" sheetId="5" state="visible" r:id="rId7"/>
    <sheet name="2nd Year Projections" sheetId="6" state="visible" r:id="rId8"/>
    <sheet name="2nd Yr Summary" sheetId="7" state="visible" r:id="rId9"/>
    <sheet name="Cash Flow 2nd Year" sheetId="8" state="hidden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Totals are calculated automatically.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-93</xdr:colOff>
                <xdr:row>2</xdr:row>
                <xdr:rowOff>12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Totals are calculated automatically.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-129</xdr:colOff>
                <xdr:row>2</xdr:row>
                <xdr:rowOff>12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<sst xmlns="http://schemas.openxmlformats.org/spreadsheetml/2006/main" count="367" uniqueCount="264">
  <si>
    <t xml:space="preserve">Assumptions &amp; drivers (blue = input, black = formula)</t>
  </si>
  <si>
    <t xml:space="preserve">Colgrid. Casual play by default; opt-in tournament has no extra fee, so it adds no revenue line. Salt Lake pilot season, then Ogden (Chapter 02) and Provo (Chapter 03). Figures from the pricing doc dated 2026-09-27.</t>
  </si>
  <si>
    <t xml:space="preserve">Unit inputs</t>
  </si>
  <si>
    <t xml:space="preserve">Single gathering ticket price ($)</t>
  </si>
  <si>
    <t xml:space="preserve">Pricing doc; U.S. food tours run $45-$150, most good ones $65-$89</t>
  </si>
  <si>
    <t xml:space="preserve">Season Pass price, 4 gatherings ($)</t>
  </si>
  <si>
    <t xml:space="preserve">$70 per gathering</t>
  </si>
  <si>
    <t xml:space="preserve">Share of players on a Season Pass</t>
  </si>
  <si>
    <t xml:space="preserve">Estimate; confirm in pilot</t>
  </si>
  <si>
    <t xml:space="preserve">Average revenue per ticketed player ($)</t>
  </si>
  <si>
    <t xml:space="preserve">Blend of single tickets and passes</t>
  </si>
  <si>
    <t xml:space="preserve">Direct cost per player ($)</t>
  </si>
  <si>
    <t xml:space="preserve">Hosts $18, finale meal $12, game master $6, keepsakes $4</t>
  </si>
  <si>
    <t xml:space="preserve">Corporate private run price ($)</t>
  </si>
  <si>
    <t xml:space="preserve">Up to 20 players; national team-building hunts run $50-$150/person</t>
  </si>
  <si>
    <t xml:space="preserve">Corporate run direct cost ($)</t>
  </si>
  <si>
    <t xml:space="preserve">$960 fixed per session + $16 per head x 20</t>
  </si>
  <si>
    <t xml:space="preserve">Sponsorship fulfillment cost (% of sponsor revenue)</t>
  </si>
  <si>
    <t xml:space="preserve">Impact report, sponsor quest materials</t>
  </si>
  <si>
    <t xml:space="preserve">Flagship price per player ($)</t>
  </si>
  <si>
    <t xml:space="preserve">2-night retreat</t>
  </si>
  <si>
    <t xml:space="preserve">Flagship direct cost per player ($)</t>
  </si>
  <si>
    <t xml:space="preserve">High end of $420-$545 estimate: lodging, meals, hosts, keepsakes</t>
  </si>
  <si>
    <t xml:space="preserve">Vanguard membership price ($/yr)</t>
  </si>
  <si>
    <t xml:space="preserve">4 gatherings in any city + guest seat + kit</t>
  </si>
  <si>
    <t xml:space="preserve">Vanguard direct cost per member ($)</t>
  </si>
  <si>
    <t xml:space="preserve">5 seats x $40 + $25 kit</t>
  </si>
  <si>
    <t xml:space="preserve">Card/processing fees absorbed (% of revenue)</t>
  </si>
  <si>
    <t xml:space="preserve">Ticket fees passed to buyers; covers invoices and passes</t>
  </si>
  <si>
    <t xml:space="preserve">Monthly drivers</t>
  </si>
  <si>
    <t xml:space="preserve">Month #</t>
  </si>
  <si>
    <t xml:space="preserve">Total</t>
  </si>
  <si>
    <t xml:space="preserve">Notes</t>
  </si>
  <si>
    <t xml:space="preserve">Month</t>
  </si>
  <si>
    <t xml:space="preserve">Salt Lake players (Chapter 01)</t>
  </si>
  <si>
    <t xml:space="preserve">Pilot: 4 gatherings Feb-May at 40; Season 2 Jul-Nov at 45; year 2 at 50, off in Jun and Dec</t>
  </si>
  <si>
    <t xml:space="preserve">Ogden players (Chapter 02)</t>
  </si>
  <si>
    <t xml:space="preserve">Opens Sep of year 1 at 30; 35 in year 2</t>
  </si>
  <si>
    <t xml:space="preserve">Provo players (Chapter 03)</t>
  </si>
  <si>
    <t xml:space="preserve">Opens Jul of year 2 at 30</t>
  </si>
  <si>
    <t xml:space="preserve">Total ticketed players</t>
  </si>
  <si>
    <t xml:space="preserve">Vanguard members are not counted here; their seat cost is in the membership line</t>
  </si>
  <si>
    <t xml:space="preserve">Corporate private runs</t>
  </si>
  <si>
    <t xml:space="preserve">Start after the pilot; 2/month in year 2</t>
  </si>
  <si>
    <t xml:space="preserve">Sponsorship revenue ($)</t>
  </si>
  <si>
    <t xml:space="preserve">BID / tourism / brand sponsors per chapter season; $10k flagship sponsor in yr 2</t>
  </si>
  <si>
    <t xml:space="preserve">Flagship players</t>
  </si>
  <si>
    <t xml:space="preserve">First flagship in month 21 (Sep, year 2): tournament Championship qualifiers + Explorer lottery winners</t>
  </si>
  <si>
    <t xml:space="preserve">New Vanguard members</t>
  </si>
  <si>
    <t xml:space="preserve">Membership launches in year 2, once a second city is open</t>
  </si>
  <si>
    <t xml:space="preserve">Revenue ($)</t>
  </si>
  <si>
    <t xml:space="preserve">Gathering tickets &amp; Season Passes</t>
  </si>
  <si>
    <t xml:space="preserve">Sponsorships</t>
  </si>
  <si>
    <t xml:space="preserve">Flagship &amp; Vanguard membership</t>
  </si>
  <si>
    <t xml:space="preserve">Direct costs / COGS ($)</t>
  </si>
  <si>
    <t xml:space="preserve">Gathering direct costs</t>
  </si>
  <si>
    <t xml:space="preserve">Corporate run direct costs</t>
  </si>
  <si>
    <t xml:space="preserve">Sponsorship fulfillment</t>
  </si>
  <si>
    <t xml:space="preserve">Flagship &amp; Vanguard direct costs</t>
  </si>
  <si>
    <t xml:space="preserve">Owner draw</t>
  </si>
  <si>
    <t xml:space="preserve">Owner draw, accrues monthly ($)</t>
  </si>
  <si>
    <t xml:space="preserve">Accrues from month 1; unpaid amounts carry forward as backpay</t>
  </si>
  <si>
    <t xml:space="preserve">Minimum cash kept before paying the draw ($)</t>
  </si>
  <si>
    <t xml:space="preserve">Draw is paid only from cash above this cushion (keeps the loan working capital untouched)</t>
  </si>
  <si>
    <t xml:space="preserve">Proposed Loan payment and interest calculator</t>
  </si>
  <si>
    <t xml:space="preserve">Assumption: SBA-style microloan of $15,000 over 5 years at 10% (confirm rate and term with lender).</t>
  </si>
  <si>
    <t xml:space="preserve">Loan Amount</t>
  </si>
  <si>
    <t xml:space="preserve">Term (YRS)</t>
  </si>
  <si>
    <t xml:space="preserve">Interest Rate</t>
  </si>
  <si>
    <t xml:space="preserve">Month 1 Interest</t>
  </si>
  <si>
    <t xml:space="preserve">Month 2 Interest</t>
  </si>
  <si>
    <t xml:space="preserve">Month 3 Interest</t>
  </si>
  <si>
    <t xml:space="preserve">Month 4 Interest</t>
  </si>
  <si>
    <t xml:space="preserve">Month 5 Interest</t>
  </si>
  <si>
    <t xml:space="preserve">Month 6 Interest</t>
  </si>
  <si>
    <t xml:space="preserve">Month 7 Interest</t>
  </si>
  <si>
    <t xml:space="preserve">Month 8 Interest</t>
  </si>
  <si>
    <t xml:space="preserve">Month 9 Interest</t>
  </si>
  <si>
    <t xml:space="preserve">Month 10 Interest</t>
  </si>
  <si>
    <t xml:space="preserve">Month 11 Interest</t>
  </si>
  <si>
    <t xml:space="preserve">Month 12 Interest</t>
  </si>
  <si>
    <t xml:space="preserve">Year 1 Interest</t>
  </si>
  <si>
    <t xml:space="preserve">Monthy Payment</t>
  </si>
  <si>
    <t xml:space="preserve">Month 13 Interest</t>
  </si>
  <si>
    <t xml:space="preserve">Month 14 Interest</t>
  </si>
  <si>
    <t xml:space="preserve">Month 15 Interest</t>
  </si>
  <si>
    <t xml:space="preserve">Month 16 Interest</t>
  </si>
  <si>
    <t xml:space="preserve">Month 17 Interest</t>
  </si>
  <si>
    <t xml:space="preserve">Month 18 Interest</t>
  </si>
  <si>
    <t xml:space="preserve">Month 19 Interest</t>
  </si>
  <si>
    <t xml:space="preserve">Month 20 Interest</t>
  </si>
  <si>
    <t xml:space="preserve">Month 21 Interest</t>
  </si>
  <si>
    <t xml:space="preserve">Month 22 Interest</t>
  </si>
  <si>
    <t xml:space="preserve">Month 23 Interest</t>
  </si>
  <si>
    <t xml:space="preserve">Month 24 Interest</t>
  </si>
  <si>
    <t xml:space="preserve">Year 2 Interest</t>
  </si>
  <si>
    <t xml:space="preserve">Projected Business Debt Coverage Ratio</t>
  </si>
  <si>
    <t xml:space="preserve">Year 1</t>
  </si>
  <si>
    <t xml:space="preserve">Year 2</t>
  </si>
  <si>
    <t xml:space="preserve">Fiscal Year Begins</t>
  </si>
  <si>
    <t xml:space="preserve">Business Name: Colgrid</t>
  </si>
  <si>
    <t xml:space="preserve">Proposed loan amount</t>
  </si>
  <si>
    <t xml:space="preserve">City-based real-world team game (NAICS 711320)</t>
  </si>
  <si>
    <t xml:space="preserve">Month 1</t>
  </si>
  <si>
    <t xml:space="preserve">Month 2</t>
  </si>
  <si>
    <t xml:space="preserve">Month 3</t>
  </si>
  <si>
    <t xml:space="preserve">Month 4</t>
  </si>
  <si>
    <t xml:space="preserve">Month 5</t>
  </si>
  <si>
    <t xml:space="preserve">Month 6</t>
  </si>
  <si>
    <t xml:space="preserve">Month 7</t>
  </si>
  <si>
    <t xml:space="preserve">Month 8</t>
  </si>
  <si>
    <t xml:space="preserve">Month 9</t>
  </si>
  <si>
    <t xml:space="preserve">Month 10</t>
  </si>
  <si>
    <t xml:space="preserve">Month 11</t>
  </si>
  <si>
    <t xml:space="preserve">Month 12</t>
  </si>
  <si>
    <t xml:space="preserve">YEARLY</t>
  </si>
  <si>
    <t xml:space="preserve">Percentages</t>
  </si>
  <si>
    <t xml:space="preserve">Revenue </t>
  </si>
  <si>
    <t xml:space="preserve">Assumptions. Please describe how figures were derived. </t>
  </si>
  <si>
    <t xml:space="preserve">Players x $73 blended ticket (60% single $75, 40% pass $70). See Assumptions tab.</t>
  </si>
  <si>
    <t xml:space="preserve">Private runs x $2,500</t>
  </si>
  <si>
    <t xml:space="preserve">BID / tourism / brand sponsors per season</t>
  </si>
  <si>
    <t xml:space="preserve">Starts in year 2</t>
  </si>
  <si>
    <t xml:space="preserve">Total Revenue (Sales)</t>
  </si>
  <si>
    <t xml:space="preserve">Cost of Goods Sold</t>
  </si>
  <si>
    <t xml:space="preserve">Gathering tickets &amp; Season Passes (direct costs)</t>
  </si>
  <si>
    <t xml:space="preserve">$40 per player: hosts $18, finale meal $12, game master $6, keepsakes $4</t>
  </si>
  <si>
    <t xml:space="preserve">Corporate private runs (direct costs)</t>
  </si>
  <si>
    <t xml:space="preserve">$1,280 per run</t>
  </si>
  <si>
    <t xml:space="preserve">Sponsorships (direct costs)</t>
  </si>
  <si>
    <t xml:space="preserve">10% of sponsor revenue</t>
  </si>
  <si>
    <t xml:space="preserve">Flagship &amp; Vanguard membership (direct costs)</t>
  </si>
  <si>
    <t xml:space="preserve">Flagship $545/player; Vanguard $225/member</t>
  </si>
  <si>
    <t xml:space="preserve">Total Cost of Goods Sold</t>
  </si>
  <si>
    <t xml:space="preserve">Gross Profit</t>
  </si>
  <si>
    <t xml:space="preserve">Expenses</t>
  </si>
  <si>
    <t xml:space="preserve">Marketing </t>
  </si>
  <si>
    <t xml:space="preserve">Social ads, player photos/video, launch posts; ~$18 per ticketed player</t>
  </si>
  <si>
    <t xml:space="preserve">Bank Charges </t>
  </si>
  <si>
    <t xml:space="preserve">Business checking</t>
  </si>
  <si>
    <t xml:space="preserve">Car-Truck </t>
  </si>
  <si>
    <t xml:space="preserve">Mileage: host scouting; Ogden trips from Sep</t>
  </si>
  <si>
    <t xml:space="preserve">Utilities </t>
  </si>
  <si>
    <t xml:space="preserve">Home-based; no facility (events use host venues)</t>
  </si>
  <si>
    <t xml:space="preserve">Rent/Lease</t>
  </si>
  <si>
    <t xml:space="preserve">Small storage unit for keepsakes, field guides, props</t>
  </si>
  <si>
    <t xml:space="preserve">Merchant Service Fees</t>
  </si>
  <si>
    <t xml:space="preserve">1.5% of revenue (ticket fees passed to buyer)</t>
  </si>
  <si>
    <t xml:space="preserve">Office &amp; Supplies </t>
  </si>
  <si>
    <t xml:space="preserve">Printing, quest props not tied to a single session</t>
  </si>
  <si>
    <t xml:space="preserve">Office Meals / Entertainment</t>
  </si>
  <si>
    <t xml:space="preserve">Host and venue scouting meetings</t>
  </si>
  <si>
    <t xml:space="preserve">Repairs </t>
  </si>
  <si>
    <t xml:space="preserve">Salary Expenses </t>
  </si>
  <si>
    <t xml:space="preserve">See Payroll tab: part-time Ogden chapter lead from Sep. Owner draw is on the Cash Flow tab</t>
  </si>
  <si>
    <t xml:space="preserve">Telephone &amp; Internet</t>
  </si>
  <si>
    <t xml:space="preserve">Phone + group texting for pre-game messages</t>
  </si>
  <si>
    <t xml:space="preserve">Insurance </t>
  </si>
  <si>
    <t xml:space="preserve">General liability + event coverage (~$1,200/yr); get quotes</t>
  </si>
  <si>
    <t xml:space="preserve">Interest Expense Loan #1</t>
  </si>
  <si>
    <t xml:space="preserve">$15,000 loan, 5 yrs, 10% (Proposed Loan Details)</t>
  </si>
  <si>
    <t xml:space="preserve">Interest Expense Loan #2</t>
  </si>
  <si>
    <t xml:space="preserve">No second loan</t>
  </si>
  <si>
    <t xml:space="preserve">Software &amp; Web Pass</t>
  </si>
  <si>
    <t xml:space="preserve">Web pass hosting, ticketing plan, email, domain</t>
  </si>
  <si>
    <t xml:space="preserve">Professional Fees (legal, trademark, CPA)</t>
  </si>
  <si>
    <t xml:space="preserve">LLC/legal review; trademark filing after naming; bookkeeping</t>
  </si>
  <si>
    <t xml:space="preserve">Licenses, Permits &amp; Fees</t>
  </si>
  <si>
    <t xml:space="preserve">Business license, event permits where needed</t>
  </si>
  <si>
    <t xml:space="preserve">Brand &amp; Design</t>
  </si>
  <si>
    <t xml:space="preserve">Identity design after naming (logo, badge art, field guide)</t>
  </si>
  <si>
    <t xml:space="preserve">Total Expenses</t>
  </si>
  <si>
    <t xml:space="preserve">NAICS 711320</t>
  </si>
  <si>
    <t xml:space="preserve">Net Profit Before Taxes</t>
  </si>
  <si>
    <t xml:space="preserve">Promoters of events without facilities</t>
  </si>
  <si>
    <t xml:space="preserve">Payroll</t>
  </si>
  <si>
    <t xml:space="preserve">Annual</t>
  </si>
  <si>
    <t xml:space="preserve">Monthly</t>
  </si>
  <si>
    <t xml:space="preserve">Hourly*</t>
  </si>
  <si>
    <t xml:space="preserve">Owner Salary (none; owner takes a $5,000/mo draw, see Cash Flow)</t>
  </si>
  <si>
    <t xml:space="preserve">Chapter Lead - Ogden (part-time)</t>
  </si>
  <si>
    <t xml:space="preserve">Chapter Lead - Provo (part-time, year 2)</t>
  </si>
  <si>
    <t xml:space="preserve">Admin Assistant</t>
  </si>
  <si>
    <t xml:space="preserve">Event crew (covered in direct costs)</t>
  </si>
  <si>
    <t xml:space="preserve">Max Total Monthly </t>
  </si>
  <si>
    <t xml:space="preserve">Total Monthly </t>
  </si>
  <si>
    <t xml:space="preserve">Assumptions</t>
  </si>
  <si>
    <t xml:space="preserve">Month 1: </t>
  </si>
  <si>
    <t xml:space="preserve">Month 2: </t>
  </si>
  <si>
    <t xml:space="preserve">Month 3: </t>
  </si>
  <si>
    <t xml:space="preserve">Month 4:  </t>
  </si>
  <si>
    <t xml:space="preserve">Month 5: </t>
  </si>
  <si>
    <t xml:space="preserve">Month 6: </t>
  </si>
  <si>
    <t xml:space="preserve">Month 7: </t>
  </si>
  <si>
    <t xml:space="preserve">Month 8: </t>
  </si>
  <si>
    <t xml:space="preserve">Month 9: </t>
  </si>
  <si>
    <t xml:space="preserve">Month 10: </t>
  </si>
  <si>
    <t xml:space="preserve">Month 11: </t>
  </si>
  <si>
    <t xml:space="preserve">Month 12: </t>
  </si>
  <si>
    <t xml:space="preserve">Owner runs strategy, hosts, partnerships and game design. Paid by an owner draw of $5,000/month that accrues from month 1 and is paid out when cash allows (deferred backpay); see Cash Flow tabs.</t>
  </si>
  <si>
    <t xml:space="preserve">Part-time lead trained on the chapter playbook: recruits hosts, runs game nights in Ogden. ~40 hrs/month at $20/hr from Sep of year 1.</t>
  </si>
  <si>
    <t xml:space="preserve">Same role for Provo, starting Jul of year 2.</t>
  </si>
  <si>
    <t xml:space="preserve">Not needed in years 1-2.</t>
  </si>
  <si>
    <t xml:space="preserve">Game master on the night is paid per session and counted in the $40 direct cost per player.</t>
  </si>
  <si>
    <t xml:space="preserve">Same as above.</t>
  </si>
  <si>
    <t xml:space="preserve">*The Hourly rate above is assumed the employees are working 40 hours a weeks which is 2080 hours a year. If a employee is seasonal or part time, the hourly rate can be manually input or the formula can be updated. </t>
  </si>
  <si>
    <t xml:space="preserve">12 Month Cash Flow Statement</t>
  </si>
  <si>
    <t xml:space="preserve">Cash Flow (12 months)</t>
  </si>
  <si>
    <t xml:space="preserve">Fiscal Year Begins:</t>
  </si>
  <si>
    <t xml:space="preserve">Pre-Startup EST</t>
  </si>
  <si>
    <t xml:space="preserve">Cash on Hand (beginning of month) - owner equity in Pre-Startup</t>
  </si>
  <si>
    <t xml:space="preserve">CASH RECEIPTS</t>
  </si>
  <si>
    <t xml:space="preserve">Cash Sales</t>
  </si>
  <si>
    <t xml:space="preserve">Collections fm CR accounts</t>
  </si>
  <si>
    <t xml:space="preserve">Loan proceeds / working capital injection</t>
  </si>
  <si>
    <t xml:space="preserve">TOTAL CASH RECEIPTS</t>
  </si>
  <si>
    <t xml:space="preserve">Total Cash Available (before cash out)</t>
  </si>
  <si>
    <t xml:space="preserve">CASH PAID OUT</t>
  </si>
  <si>
    <t xml:space="preserve">Loan principal payment</t>
  </si>
  <si>
    <t xml:space="preserve">SUBTOTAL</t>
  </si>
  <si>
    <t xml:space="preserve">Capital purchase (COGs)</t>
  </si>
  <si>
    <t xml:space="preserve">Other startup costs</t>
  </si>
  <si>
    <t xml:space="preserve">Owners' Withdrawal (draw paid)</t>
  </si>
  <si>
    <t xml:space="preserve">TOTAL CASH PAID OUT</t>
  </si>
  <si>
    <t xml:space="preserve">Cash Position (end of month)</t>
  </si>
  <si>
    <t xml:space="preserve">Pre-startup costs: web pass build $3,000; keepsake tooling + first badge run $1,200; field guides &amp; quest kits $500; website &amp; domains $300.</t>
  </si>
  <si>
    <t xml:space="preserve">ESSENTIAL OPERATING DATA (non cash flow information)</t>
  </si>
  <si>
    <t xml:space="preserve">Sales Volume (dollars)</t>
  </si>
  <si>
    <t xml:space="preserve">Accounts Receivable</t>
  </si>
  <si>
    <t xml:space="preserve">Bad Debt (end of month)</t>
  </si>
  <si>
    <t xml:space="preserve">Inventory on hand (eom)</t>
  </si>
  <si>
    <t xml:space="preserve">Accounts Payable (eom)</t>
  </si>
  <si>
    <t xml:space="preserve">Depreciation</t>
  </si>
  <si>
    <t xml:space="preserve">Owner draw accrued this month</t>
  </si>
  <si>
    <t xml:space="preserve">Owner draw owed (deferred backpay, eom)</t>
  </si>
  <si>
    <t xml:space="preserve">Expense growth (year 2)</t>
  </si>
  <si>
    <t xml:space="preserve">applies to expense rows that copy year 1</t>
  </si>
  <si>
    <t xml:space="preserve">Month 13</t>
  </si>
  <si>
    <t xml:space="preserve">Month 14</t>
  </si>
  <si>
    <t xml:space="preserve">Month 15</t>
  </si>
  <si>
    <t xml:space="preserve">Month 16</t>
  </si>
  <si>
    <t xml:space="preserve">Month 17</t>
  </si>
  <si>
    <t xml:space="preserve">Month 18</t>
  </si>
  <si>
    <t xml:space="preserve">Month 19</t>
  </si>
  <si>
    <t xml:space="preserve">Month 20</t>
  </si>
  <si>
    <t xml:space="preserve">Month 21</t>
  </si>
  <si>
    <t xml:space="preserve">Month 22</t>
  </si>
  <si>
    <t xml:space="preserve">Month 23</t>
  </si>
  <si>
    <t xml:space="preserve">Month 24</t>
  </si>
  <si>
    <t xml:space="preserve">SLC 50 &amp; Ogden 35 players x 10 months; Provo 30 x 5 months; $73 blended</t>
  </si>
  <si>
    <t xml:space="preserve">2 private runs per month</t>
  </si>
  <si>
    <t xml:space="preserve">Chapter sponsors + $10k flagship sponsor</t>
  </si>
  <si>
    <t xml:space="preserve">Flagship (Championship + Explorer weekend): 60 players x $725 (Sep); Vanguard: 52 members x $360</t>
  </si>
  <si>
    <t xml:space="preserve">$1,500/month across three chapters</t>
  </si>
  <si>
    <t xml:space="preserve">Other rows: year 1 + 3%</t>
  </si>
  <si>
    <t xml:space="preserve">Mileage across Salt Lake, Ogden, Provo</t>
  </si>
  <si>
    <t xml:space="preserve">Ogden lead $800/mo; Provo lead $800/mo from Jul. Owner is paid by draw (Cash Flow tab), not salary</t>
  </si>
  <si>
    <t xml:space="preserve">Year-2 interest on the $15,000 loan</t>
  </si>
  <si>
    <t xml:space="preserve">Flagship identity and Vanguard kit design</t>
  </si>
  <si>
    <t xml:space="preserve"> </t>
  </si>
  <si>
    <t xml:space="preserve">Year 2 totals come straight from the 2nd Year Projections tab</t>
  </si>
  <si>
    <t xml:space="preserve">Total Item EST</t>
  </si>
  <si>
    <t xml:space="preserve">Cash on Hand (beginning of month)</t>
  </si>
  <si>
    <t xml:space="preserve">Loan/ other cash inj.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</si>
</sst>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"/>
    <numFmt numFmtId="166" formatCode="0%"/>
    <numFmt numFmtId="167" formatCode="0.0%"/>
    <numFmt numFmtId="168" formatCode="mmm\-yy"/>
    <numFmt numFmtId="169" formatCode="#,##0"/>
    <numFmt numFmtId="170" formatCode="\$#,##0"/>
    <numFmt numFmtId="171" formatCode="0.00%"/>
    <numFmt numFmtId="172" formatCode="\$#,##0.00_);[RED]&quot;($&quot;#,##0.00\)"/>
    <numFmt numFmtId="173" formatCode="\$#,##0.00"/>
    <numFmt numFmtId="174" formatCode="#,##0.00"/>
    <numFmt numFmtId="175" formatCode="0.00"/>
    <numFmt numFmtId="176" formatCode="[$-409]mmm\-yy;@"/>
    <numFmt numFmtId="177" formatCode="\$#,##0_);[RED]&quot;($&quot;#,##0\)"/>
    <numFmt numFmtId="178" formatCode="mmmm"/>
    <numFmt numFmtId="179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b val="true"/>
      <sz val="11"/>
      <color theme="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theme="2"/>
      <name val="Arial"/>
      <family val="2"/>
      <charset val="1"/>
    </font>
    <font>
      <sz val="11"/>
      <name val="Calibri"/>
      <family val="2"/>
      <charset val="1"/>
    </font>
    <font>
      <b val="true"/>
      <sz val="16"/>
      <color theme="1"/>
      <name val="Calibri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5"/>
      <color theme="3"/>
      <name val="Calibri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sz val="11"/>
      <color rgb="FFFF0000"/>
      <name val="Calibri"/>
      <family val="2"/>
      <charset val="1"/>
    </font>
    <font>
      <sz val="12"/>
      <name val="Calibri"/>
      <family val="2"/>
      <charset val="1"/>
    </font>
    <font>
      <sz val="28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</font>
    <font>
      <b val="true"/>
      <sz val="1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2"/>
        <bgColor rgb="FFE2F0D9"/>
      </patternFill>
    </fill>
    <fill>
      <patternFill patternType="solid">
        <fgColor theme="0"/>
        <bgColor rgb="FFFFF2CC"/>
      </patternFill>
    </fill>
    <fill>
      <patternFill patternType="solid">
        <fgColor theme="7" tint="0.7999"/>
        <bgColor rgb="FFE2F0D9"/>
      </patternFill>
    </fill>
    <fill>
      <patternFill patternType="solid">
        <fgColor rgb="FFC5FFFF"/>
        <bgColor rgb="FFCCFFFF"/>
      </patternFill>
    </fill>
    <fill>
      <patternFill patternType="solid">
        <fgColor theme="9" tint="0.7999"/>
        <bgColor rgb="FFE7E6E6"/>
      </patternFill>
    </fill>
    <fill>
      <patternFill patternType="solid">
        <fgColor theme="9" tint="0.3999"/>
        <bgColor rgb="FFC0C0C0"/>
      </patternFill>
    </fill>
    <fill>
      <patternFill patternType="solid">
        <fgColor theme="7" tint="0.3999"/>
        <bgColor rgb="FFF8CBAD"/>
      </patternFill>
    </fill>
    <fill>
      <patternFill patternType="solid">
        <fgColor theme="5" tint="0.5999"/>
        <bgColor rgb="FFFFC7CE"/>
      </patternFill>
    </fill>
    <fill>
      <patternFill patternType="solid">
        <fgColor rgb="FFCCFFFF"/>
        <bgColor rgb="FFC5FFFF"/>
      </patternFill>
    </fill>
    <fill>
      <patternFill patternType="solid">
        <fgColor rgb="FF99CCFF"/>
        <bgColor rgb="FFC0C0C0"/>
      </patternFill>
    </fill>
    <fill>
      <patternFill patternType="solid">
        <fgColor rgb="FFCC99FF"/>
        <bgColor rgb="FF9999FF"/>
      </patternFill>
    </fill>
  </fills>
  <borders count="32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ck"/>
      <right style="thin"/>
      <top style="thick"/>
      <bottom style="thick"/>
      <diagonal/>
    </border>
    <border diagonalUp="false" diagonalDown="false">
      <left style="thin"/>
      <right style="thin"/>
      <top style="thick"/>
      <bottom style="thick"/>
      <diagonal/>
    </border>
    <border diagonalUp="false" diagonalDown="false">
      <left style="thin"/>
      <right style="thick"/>
      <top style="thick"/>
      <bottom style="thick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double"/>
      <diagonal/>
    </border>
    <border diagonalUp="false" diagonalDown="false">
      <left style="thin">
        <color rgb="FFC0C0C0"/>
      </left>
      <right/>
      <top style="thin">
        <color rgb="FFC0C0C0"/>
      </top>
      <bottom style="double"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>
        <color rgb="FFC0C0C0"/>
      </top>
      <bottom style="double"/>
      <diagonal/>
    </border>
    <border diagonalUp="false" diagonalDown="false"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2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bottom" textRotation="60" wrapText="true" indent="0" shrinkToFit="false"/>
      <protection locked="true" hidden="false"/>
    </xf>
    <xf numFmtId="176" fontId="10" fillId="0" borderId="3" xfId="20" applyFont="true" applyBorder="true" applyAlignment="true" applyProtection="false">
      <alignment horizontal="center" vertical="center" textRotation="6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center" vertical="center" textRotation="6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2" xfId="20" applyFont="true" applyBorder="true" applyAlignment="true" applyProtection="false">
      <alignment horizontal="center" vertical="center" textRotation="60" wrapText="true" indent="0" shrinkToFit="false"/>
      <protection locked="true" hidden="false"/>
    </xf>
    <xf numFmtId="164" fontId="1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1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12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0" borderId="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0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1" fillId="0" borderId="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0" borderId="3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0" borderId="7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1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3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0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3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3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3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7" fillId="0" borderId="6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4" fontId="0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9" fontId="7" fillId="0" borderId="2" xfId="0" applyFont="true" applyBorder="true" applyAlignment="true" applyProtection="true">
      <alignment horizontal="general" vertical="bottom" textRotation="0" wrapText="true" indent="0" shrinkToFit="false"/>
      <protection locked="false" hidden="false"/>
    </xf>
    <xf numFmtId="169" fontId="11" fillId="3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3" fillId="0" borderId="0" xfId="19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6" fontId="4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left" vertical="bottom" textRotation="60" wrapText="true" indent="0" shrinkToFit="false"/>
      <protection locked="true" hidden="false"/>
    </xf>
    <xf numFmtId="176" fontId="10" fillId="0" borderId="3" xfId="20" applyFont="true" applyBorder="true" applyAlignment="true" applyProtection="false">
      <alignment horizontal="left" vertical="center" textRotation="60" wrapText="false" indent="0" shrinkToFit="false"/>
      <protection locked="true" hidden="false"/>
    </xf>
    <xf numFmtId="176" fontId="10" fillId="0" borderId="3" xfId="20" applyFont="true" applyBorder="true" applyAlignment="true" applyProtection="false">
      <alignment horizontal="left" vertical="center" textRotation="60" wrapText="true" indent="0" shrinkToFit="false"/>
      <protection locked="true" hidden="false"/>
    </xf>
    <xf numFmtId="164" fontId="10" fillId="0" borderId="3" xfId="20" applyFont="true" applyBorder="true" applyAlignment="true" applyProtection="false">
      <alignment horizontal="left" vertical="center" textRotation="6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4" borderId="15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4" borderId="16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0" fillId="4" borderId="17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2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2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5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5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6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6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6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7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7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2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center" vertical="center" textRotation="60" wrapText="true" indent="0" shrinkToFit="false"/>
      <protection locked="true" hidden="false"/>
    </xf>
    <xf numFmtId="168" fontId="12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8" borderId="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9" borderId="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6" fillId="10" borderId="9" xfId="19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2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3" borderId="2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2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6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11" fillId="0" borderId="3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5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22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11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2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1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1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1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4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20" fillId="4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1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0" fillId="1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11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2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2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2" borderId="3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Heading 1" xfId="21"/>
  </cellStyles>
  <dxfs count="2">
    <dxf>
      <font>
        <color rgb="FF9C0006"/>
      </font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5FFFF"/>
      <rgbColor rgb="FFE2F0D9"/>
      <rgbColor rgb="FFFFD966"/>
      <rgbColor rgb="FF99CCFF"/>
      <rgbColor rgb="FFFFC7CE"/>
      <rgbColor rgb="FFCC99FF"/>
      <rgbColor rgb="FFF8CBAD"/>
      <rgbColor rgb="FF4472C4"/>
      <rgbColor rgb="FF33CCCC"/>
      <rgbColor rgb="FF99CC00"/>
      <rgbColor rgb="FFFFCC00"/>
      <rgbColor rgb="FFFF9900"/>
      <rgbColor rgb="FFFF6600"/>
      <rgbColor rgb="FF44546A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1" topLeftCell="B22" activePane="bottomRight" state="frozen"/>
      <selection pane="topLeft" activeCell="A1" activeCellId="0" sqref="A1"/>
      <selection pane="topRight" activeCell="B1" activeCellId="0" sqref="B1"/>
      <selection pane="bottomLeft" activeCell="A22" activeCellId="0" sqref="A2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6" min="2" style="1" width="10"/>
    <col collapsed="false" customWidth="true" hidden="false" outlineLevel="0" max="27" min="27" style="1" width="70"/>
  </cols>
  <sheetData>
    <row r="1" customFormat="false" ht="16.15" hidden="false" customHeight="false" outlineLevel="0" collapsed="false">
      <c r="A1" s="2" t="s">
        <v>0</v>
      </c>
    </row>
    <row r="2" customFormat="false" ht="15" hidden="false" customHeight="false" outlineLevel="0" collapsed="false">
      <c r="A2" s="1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1" t="s">
        <v>3</v>
      </c>
      <c r="B5" s="4" t="n">
        <v>75</v>
      </c>
      <c r="C5" s="1" t="s">
        <v>4</v>
      </c>
    </row>
    <row r="6" customFormat="false" ht="15" hidden="false" customHeight="false" outlineLevel="0" collapsed="false">
      <c r="A6" s="1" t="s">
        <v>5</v>
      </c>
      <c r="B6" s="4" t="n">
        <v>280</v>
      </c>
      <c r="C6" s="1" t="s">
        <v>6</v>
      </c>
    </row>
    <row r="7" customFormat="false" ht="15" hidden="false" customHeight="false" outlineLevel="0" collapsed="false">
      <c r="A7" s="1" t="s">
        <v>7</v>
      </c>
      <c r="B7" s="5" t="n">
        <v>0.4</v>
      </c>
      <c r="C7" s="1" t="s">
        <v>8</v>
      </c>
    </row>
    <row r="8" customFormat="false" ht="15" hidden="false" customHeight="false" outlineLevel="0" collapsed="false">
      <c r="A8" s="1" t="s">
        <v>9</v>
      </c>
      <c r="B8" s="6" t="n">
        <f aca="false">B5*(1-B7)+(B6/4)*B7</f>
        <v>73</v>
      </c>
      <c r="C8" s="1" t="s">
        <v>10</v>
      </c>
    </row>
    <row r="9" customFormat="false" ht="15" hidden="false" customHeight="false" outlineLevel="0" collapsed="false">
      <c r="A9" s="1" t="s">
        <v>11</v>
      </c>
      <c r="B9" s="4" t="n">
        <v>40</v>
      </c>
      <c r="C9" s="1" t="s">
        <v>12</v>
      </c>
    </row>
    <row r="10" customFormat="false" ht="15" hidden="false" customHeight="false" outlineLevel="0" collapsed="false">
      <c r="A10" s="1" t="s">
        <v>13</v>
      </c>
      <c r="B10" s="4" t="n">
        <v>2500</v>
      </c>
      <c r="C10" s="1" t="s">
        <v>14</v>
      </c>
    </row>
    <row r="11" customFormat="false" ht="15" hidden="false" customHeight="false" outlineLevel="0" collapsed="false">
      <c r="A11" s="1" t="s">
        <v>15</v>
      </c>
      <c r="B11" s="6" t="n">
        <f aca="false">960+20*16</f>
        <v>1280</v>
      </c>
      <c r="C11" s="1" t="s">
        <v>16</v>
      </c>
    </row>
    <row r="12" customFormat="false" ht="15" hidden="false" customHeight="false" outlineLevel="0" collapsed="false">
      <c r="A12" s="1" t="s">
        <v>17</v>
      </c>
      <c r="B12" s="5" t="n">
        <v>0.1</v>
      </c>
      <c r="C12" s="1" t="s">
        <v>18</v>
      </c>
    </row>
    <row r="13" customFormat="false" ht="15" hidden="false" customHeight="false" outlineLevel="0" collapsed="false">
      <c r="A13" s="1" t="s">
        <v>19</v>
      </c>
      <c r="B13" s="4" t="n">
        <v>725</v>
      </c>
      <c r="C13" s="1" t="s">
        <v>20</v>
      </c>
    </row>
    <row r="14" customFormat="false" ht="15" hidden="false" customHeight="false" outlineLevel="0" collapsed="false">
      <c r="A14" s="1" t="s">
        <v>21</v>
      </c>
      <c r="B14" s="4" t="n">
        <v>545</v>
      </c>
      <c r="C14" s="1" t="s">
        <v>22</v>
      </c>
    </row>
    <row r="15" customFormat="false" ht="15" hidden="false" customHeight="false" outlineLevel="0" collapsed="false">
      <c r="A15" s="1" t="s">
        <v>23</v>
      </c>
      <c r="B15" s="4" t="n">
        <v>360</v>
      </c>
      <c r="C15" s="1" t="s">
        <v>24</v>
      </c>
    </row>
    <row r="16" customFormat="false" ht="15" hidden="false" customHeight="false" outlineLevel="0" collapsed="false">
      <c r="A16" s="1" t="s">
        <v>25</v>
      </c>
      <c r="B16" s="4" t="n">
        <v>225</v>
      </c>
      <c r="C16" s="1" t="s">
        <v>26</v>
      </c>
    </row>
    <row r="17" customFormat="false" ht="15" hidden="false" customHeight="false" outlineLevel="0" collapsed="false">
      <c r="A17" s="1" t="s">
        <v>27</v>
      </c>
      <c r="B17" s="7" t="n">
        <v>0.015</v>
      </c>
      <c r="C17" s="1" t="s">
        <v>28</v>
      </c>
    </row>
    <row r="19" customFormat="false" ht="15" hidden="false" customHeight="false" outlineLevel="0" collapsed="false">
      <c r="A19" s="3" t="s">
        <v>29</v>
      </c>
    </row>
    <row r="20" customFormat="false" ht="15" hidden="false" customHeight="false" outlineLevel="0" collapsed="false">
      <c r="A20" s="1" t="s">
        <v>30</v>
      </c>
      <c r="B20" s="3" t="n">
        <v>1</v>
      </c>
      <c r="C20" s="3" t="n">
        <v>2</v>
      </c>
      <c r="D20" s="3" t="n">
        <v>3</v>
      </c>
      <c r="E20" s="3" t="n">
        <v>4</v>
      </c>
      <c r="F20" s="3" t="n">
        <v>5</v>
      </c>
      <c r="G20" s="3" t="n">
        <v>6</v>
      </c>
      <c r="H20" s="3" t="n">
        <v>7</v>
      </c>
      <c r="I20" s="3" t="n">
        <v>8</v>
      </c>
      <c r="J20" s="3" t="n">
        <v>9</v>
      </c>
      <c r="K20" s="3" t="n">
        <v>10</v>
      </c>
      <c r="L20" s="3" t="n">
        <v>11</v>
      </c>
      <c r="M20" s="3" t="n">
        <v>12</v>
      </c>
      <c r="N20" s="3" t="n">
        <v>13</v>
      </c>
      <c r="O20" s="3" t="n">
        <v>14</v>
      </c>
      <c r="P20" s="3" t="n">
        <v>15</v>
      </c>
      <c r="Q20" s="3" t="n">
        <v>16</v>
      </c>
      <c r="R20" s="3" t="n">
        <v>17</v>
      </c>
      <c r="S20" s="3" t="n">
        <v>18</v>
      </c>
      <c r="T20" s="3" t="n">
        <v>19</v>
      </c>
      <c r="U20" s="3" t="n">
        <v>20</v>
      </c>
      <c r="V20" s="3" t="n">
        <v>21</v>
      </c>
      <c r="W20" s="3" t="n">
        <v>22</v>
      </c>
      <c r="X20" s="3" t="n">
        <v>23</v>
      </c>
      <c r="Y20" s="3" t="n">
        <v>24</v>
      </c>
      <c r="Z20" s="3" t="s">
        <v>31</v>
      </c>
      <c r="AA20" s="3" t="s">
        <v>32</v>
      </c>
    </row>
    <row r="21" customFormat="false" ht="15" hidden="false" customHeight="false" outlineLevel="0" collapsed="false">
      <c r="A21" s="1" t="s">
        <v>33</v>
      </c>
      <c r="B21" s="8" t="n">
        <f aca="false">EDATE('1st Year Projections'!$A$2,0)</f>
        <v>46388</v>
      </c>
      <c r="C21" s="8" t="n">
        <f aca="false">EDATE('1st Year Projections'!$A$2,1)</f>
        <v>46419</v>
      </c>
      <c r="D21" s="8" t="n">
        <f aca="false">EDATE('1st Year Projections'!$A$2,2)</f>
        <v>46447</v>
      </c>
      <c r="E21" s="8" t="n">
        <f aca="false">EDATE('1st Year Projections'!$A$2,3)</f>
        <v>46478</v>
      </c>
      <c r="F21" s="8" t="n">
        <f aca="false">EDATE('1st Year Projections'!$A$2,4)</f>
        <v>46508</v>
      </c>
      <c r="G21" s="8" t="n">
        <f aca="false">EDATE('1st Year Projections'!$A$2,5)</f>
        <v>46539</v>
      </c>
      <c r="H21" s="8" t="n">
        <f aca="false">EDATE('1st Year Projections'!$A$2,6)</f>
        <v>46569</v>
      </c>
      <c r="I21" s="8" t="n">
        <f aca="false">EDATE('1st Year Projections'!$A$2,7)</f>
        <v>46600</v>
      </c>
      <c r="J21" s="8" t="n">
        <f aca="false">EDATE('1st Year Projections'!$A$2,8)</f>
        <v>46631</v>
      </c>
      <c r="K21" s="8" t="n">
        <f aca="false">EDATE('1st Year Projections'!$A$2,9)</f>
        <v>46661</v>
      </c>
      <c r="L21" s="8" t="n">
        <f aca="false">EDATE('1st Year Projections'!$A$2,10)</f>
        <v>46692</v>
      </c>
      <c r="M21" s="8" t="n">
        <f aca="false">EDATE('1st Year Projections'!$A$2,11)</f>
        <v>46722</v>
      </c>
      <c r="N21" s="8" t="n">
        <f aca="false">EDATE('1st Year Projections'!$A$2,12)</f>
        <v>46753</v>
      </c>
      <c r="O21" s="8" t="n">
        <f aca="false">EDATE('1st Year Projections'!$A$2,13)</f>
        <v>46784</v>
      </c>
      <c r="P21" s="8" t="n">
        <f aca="false">EDATE('1st Year Projections'!$A$2,14)</f>
        <v>46813</v>
      </c>
      <c r="Q21" s="8" t="n">
        <f aca="false">EDATE('1st Year Projections'!$A$2,15)</f>
        <v>46844</v>
      </c>
      <c r="R21" s="8" t="n">
        <f aca="false">EDATE('1st Year Projections'!$A$2,16)</f>
        <v>46874</v>
      </c>
      <c r="S21" s="8" t="n">
        <f aca="false">EDATE('1st Year Projections'!$A$2,17)</f>
        <v>46905</v>
      </c>
      <c r="T21" s="8" t="n">
        <f aca="false">EDATE('1st Year Projections'!$A$2,18)</f>
        <v>46935</v>
      </c>
      <c r="U21" s="8" t="n">
        <f aca="false">EDATE('1st Year Projections'!$A$2,19)</f>
        <v>46966</v>
      </c>
      <c r="V21" s="8" t="n">
        <f aca="false">EDATE('1st Year Projections'!$A$2,20)</f>
        <v>46997</v>
      </c>
      <c r="W21" s="8" t="n">
        <f aca="false">EDATE('1st Year Projections'!$A$2,21)</f>
        <v>47027</v>
      </c>
      <c r="X21" s="8" t="n">
        <f aca="false">EDATE('1st Year Projections'!$A$2,22)</f>
        <v>47058</v>
      </c>
      <c r="Y21" s="8" t="n">
        <f aca="false">EDATE('1st Year Projections'!$A$2,23)</f>
        <v>47088</v>
      </c>
    </row>
    <row r="22" customFormat="false" ht="15" hidden="false" customHeight="false" outlineLevel="0" collapsed="false">
      <c r="A22" s="1" t="s">
        <v>34</v>
      </c>
      <c r="B22" s="9" t="n">
        <v>0</v>
      </c>
      <c r="C22" s="9" t="n">
        <v>40</v>
      </c>
      <c r="D22" s="9" t="n">
        <v>40</v>
      </c>
      <c r="E22" s="9" t="n">
        <v>40</v>
      </c>
      <c r="F22" s="9" t="n">
        <v>40</v>
      </c>
      <c r="G22" s="9" t="n">
        <v>0</v>
      </c>
      <c r="H22" s="9" t="n">
        <v>45</v>
      </c>
      <c r="I22" s="9" t="n">
        <v>45</v>
      </c>
      <c r="J22" s="9" t="n">
        <v>45</v>
      </c>
      <c r="K22" s="9" t="n">
        <v>45</v>
      </c>
      <c r="L22" s="9" t="n">
        <v>45</v>
      </c>
      <c r="M22" s="9" t="n">
        <v>0</v>
      </c>
      <c r="N22" s="9" t="n">
        <v>50</v>
      </c>
      <c r="O22" s="9" t="n">
        <v>50</v>
      </c>
      <c r="P22" s="9" t="n">
        <v>50</v>
      </c>
      <c r="Q22" s="9" t="n">
        <v>50</v>
      </c>
      <c r="R22" s="9" t="n">
        <v>50</v>
      </c>
      <c r="S22" s="9" t="n">
        <v>0</v>
      </c>
      <c r="T22" s="9" t="n">
        <v>50</v>
      </c>
      <c r="U22" s="9" t="n">
        <v>50</v>
      </c>
      <c r="V22" s="9" t="n">
        <v>50</v>
      </c>
      <c r="W22" s="9" t="n">
        <v>50</v>
      </c>
      <c r="X22" s="9" t="n">
        <v>50</v>
      </c>
      <c r="Y22" s="9" t="n">
        <v>0</v>
      </c>
      <c r="Z22" s="10" t="n">
        <f aca="false">SUM(B22:Y22)</f>
        <v>885</v>
      </c>
      <c r="AA22" s="1" t="s">
        <v>35</v>
      </c>
    </row>
    <row r="23" customFormat="false" ht="15" hidden="false" customHeight="false" outlineLevel="0" collapsed="false">
      <c r="A23" s="1" t="s">
        <v>36</v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30</v>
      </c>
      <c r="K23" s="9" t="n">
        <v>30</v>
      </c>
      <c r="L23" s="9" t="n">
        <v>30</v>
      </c>
      <c r="M23" s="9" t="n">
        <v>30</v>
      </c>
      <c r="N23" s="9" t="n">
        <v>35</v>
      </c>
      <c r="O23" s="9" t="n">
        <v>35</v>
      </c>
      <c r="P23" s="9" t="n">
        <v>35</v>
      </c>
      <c r="Q23" s="9" t="n">
        <v>35</v>
      </c>
      <c r="R23" s="9" t="n">
        <v>35</v>
      </c>
      <c r="S23" s="9" t="n">
        <v>0</v>
      </c>
      <c r="T23" s="9" t="n">
        <v>35</v>
      </c>
      <c r="U23" s="9" t="n">
        <v>35</v>
      </c>
      <c r="V23" s="9" t="n">
        <v>35</v>
      </c>
      <c r="W23" s="9" t="n">
        <v>35</v>
      </c>
      <c r="X23" s="9" t="n">
        <v>35</v>
      </c>
      <c r="Y23" s="9" t="n">
        <v>0</v>
      </c>
      <c r="Z23" s="10" t="n">
        <f aca="false">SUM(B23:Y23)</f>
        <v>470</v>
      </c>
      <c r="AA23" s="1" t="s">
        <v>37</v>
      </c>
    </row>
    <row r="24" customFormat="false" ht="15" hidden="false" customHeight="false" outlineLevel="0" collapsed="false">
      <c r="A24" s="1" t="s">
        <v>38</v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30</v>
      </c>
      <c r="U24" s="9" t="n">
        <v>30</v>
      </c>
      <c r="V24" s="9" t="n">
        <v>30</v>
      </c>
      <c r="W24" s="9" t="n">
        <v>30</v>
      </c>
      <c r="X24" s="9" t="n">
        <v>30</v>
      </c>
      <c r="Y24" s="9" t="n">
        <v>0</v>
      </c>
      <c r="Z24" s="10" t="n">
        <f aca="false">SUM(B24:Y24)</f>
        <v>150</v>
      </c>
      <c r="AA24" s="1" t="s">
        <v>39</v>
      </c>
    </row>
    <row r="25" customFormat="false" ht="15" hidden="false" customHeight="false" outlineLevel="0" collapsed="false">
      <c r="A25" s="1" t="s">
        <v>40</v>
      </c>
      <c r="B25" s="10" t="n">
        <f aca="false">SUM(B22:B24)</f>
        <v>0</v>
      </c>
      <c r="C25" s="10" t="n">
        <f aca="false">SUM(C22:C24)</f>
        <v>40</v>
      </c>
      <c r="D25" s="10" t="n">
        <f aca="false">SUM(D22:D24)</f>
        <v>40</v>
      </c>
      <c r="E25" s="10" t="n">
        <f aca="false">SUM(E22:E24)</f>
        <v>40</v>
      </c>
      <c r="F25" s="10" t="n">
        <f aca="false">SUM(F22:F24)</f>
        <v>40</v>
      </c>
      <c r="G25" s="10" t="n">
        <f aca="false">SUM(G22:G24)</f>
        <v>0</v>
      </c>
      <c r="H25" s="10" t="n">
        <f aca="false">SUM(H22:H24)</f>
        <v>45</v>
      </c>
      <c r="I25" s="10" t="n">
        <f aca="false">SUM(I22:I24)</f>
        <v>45</v>
      </c>
      <c r="J25" s="10" t="n">
        <f aca="false">SUM(J22:J24)</f>
        <v>75</v>
      </c>
      <c r="K25" s="10" t="n">
        <f aca="false">SUM(K22:K24)</f>
        <v>75</v>
      </c>
      <c r="L25" s="10" t="n">
        <f aca="false">SUM(L22:L24)</f>
        <v>75</v>
      </c>
      <c r="M25" s="10" t="n">
        <f aca="false">SUM(M22:M24)</f>
        <v>30</v>
      </c>
      <c r="N25" s="10" t="n">
        <f aca="false">SUM(N22:N24)</f>
        <v>85</v>
      </c>
      <c r="O25" s="10" t="n">
        <f aca="false">SUM(O22:O24)</f>
        <v>85</v>
      </c>
      <c r="P25" s="10" t="n">
        <f aca="false">SUM(P22:P24)</f>
        <v>85</v>
      </c>
      <c r="Q25" s="10" t="n">
        <f aca="false">SUM(Q22:Q24)</f>
        <v>85</v>
      </c>
      <c r="R25" s="10" t="n">
        <f aca="false">SUM(R22:R24)</f>
        <v>85</v>
      </c>
      <c r="S25" s="10" t="n">
        <f aca="false">SUM(S22:S24)</f>
        <v>0</v>
      </c>
      <c r="T25" s="10" t="n">
        <f aca="false">SUM(T22:T24)</f>
        <v>115</v>
      </c>
      <c r="U25" s="10" t="n">
        <f aca="false">SUM(U22:U24)</f>
        <v>115</v>
      </c>
      <c r="V25" s="10" t="n">
        <f aca="false">SUM(V22:V24)</f>
        <v>115</v>
      </c>
      <c r="W25" s="10" t="n">
        <f aca="false">SUM(W22:W24)</f>
        <v>115</v>
      </c>
      <c r="X25" s="10" t="n">
        <f aca="false">SUM(X22:X24)</f>
        <v>115</v>
      </c>
      <c r="Y25" s="10" t="n">
        <f aca="false">SUM(Y22:Y24)</f>
        <v>0</v>
      </c>
      <c r="Z25" s="10" t="n">
        <f aca="false">SUM(B25:Y25)</f>
        <v>1505</v>
      </c>
      <c r="AA25" s="1" t="s">
        <v>41</v>
      </c>
    </row>
    <row r="26" customFormat="false" ht="15" hidden="false" customHeight="false" outlineLevel="0" collapsed="false">
      <c r="A26" s="1" t="s">
        <v>42</v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2</v>
      </c>
      <c r="M26" s="9" t="n">
        <v>2</v>
      </c>
      <c r="N26" s="9" t="n">
        <v>2</v>
      </c>
      <c r="O26" s="9" t="n">
        <v>2</v>
      </c>
      <c r="P26" s="9" t="n">
        <v>2</v>
      </c>
      <c r="Q26" s="9" t="n">
        <v>2</v>
      </c>
      <c r="R26" s="9" t="n">
        <v>2</v>
      </c>
      <c r="S26" s="9" t="n">
        <v>2</v>
      </c>
      <c r="T26" s="9" t="n">
        <v>2</v>
      </c>
      <c r="U26" s="9" t="n">
        <v>2</v>
      </c>
      <c r="V26" s="9" t="n">
        <v>2</v>
      </c>
      <c r="W26" s="9" t="n">
        <v>2</v>
      </c>
      <c r="X26" s="9" t="n">
        <v>2</v>
      </c>
      <c r="Y26" s="9" t="n">
        <v>2</v>
      </c>
      <c r="Z26" s="10" t="n">
        <f aca="false">SUM(B26:Y26)</f>
        <v>33</v>
      </c>
      <c r="AA26" s="1" t="s">
        <v>43</v>
      </c>
    </row>
    <row r="27" customFormat="false" ht="15" hidden="false" customHeight="false" outlineLevel="0" collapsed="false">
      <c r="A27" s="1" t="s">
        <v>44</v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5000</v>
      </c>
      <c r="I27" s="9" t="n">
        <v>0</v>
      </c>
      <c r="J27" s="9" t="n">
        <v>5000</v>
      </c>
      <c r="K27" s="9" t="n">
        <v>0</v>
      </c>
      <c r="L27" s="9" t="n">
        <v>0</v>
      </c>
      <c r="M27" s="9" t="n">
        <v>0</v>
      </c>
      <c r="N27" s="9" t="n">
        <v>5000</v>
      </c>
      <c r="O27" s="9" t="n">
        <v>0</v>
      </c>
      <c r="P27" s="9" t="n">
        <v>5000</v>
      </c>
      <c r="Q27" s="9" t="n">
        <v>0</v>
      </c>
      <c r="R27" s="9" t="n">
        <v>0</v>
      </c>
      <c r="S27" s="9" t="n">
        <v>0</v>
      </c>
      <c r="T27" s="9" t="n">
        <v>10000</v>
      </c>
      <c r="U27" s="9" t="n">
        <v>10000</v>
      </c>
      <c r="V27" s="9" t="n">
        <v>5000</v>
      </c>
      <c r="W27" s="9" t="n">
        <v>0</v>
      </c>
      <c r="X27" s="9" t="n">
        <v>0</v>
      </c>
      <c r="Y27" s="9" t="n">
        <v>0</v>
      </c>
      <c r="Z27" s="10" t="n">
        <f aca="false">SUM(B27:Y27)</f>
        <v>45000</v>
      </c>
      <c r="AA27" s="1" t="s">
        <v>45</v>
      </c>
    </row>
    <row r="28" customFormat="false" ht="15" hidden="false" customHeight="false" outlineLevel="0" collapsed="false">
      <c r="A28" s="1" t="s">
        <v>46</v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60</v>
      </c>
      <c r="W28" s="9" t="n">
        <v>0</v>
      </c>
      <c r="X28" s="9" t="n">
        <v>0</v>
      </c>
      <c r="Y28" s="9" t="n">
        <v>0</v>
      </c>
      <c r="Z28" s="10" t="n">
        <f aca="false">SUM(B28:Y28)</f>
        <v>60</v>
      </c>
      <c r="AA28" s="1" t="s">
        <v>47</v>
      </c>
    </row>
    <row r="29" customFormat="false" ht="15" hidden="false" customHeight="false" outlineLevel="0" collapsed="false">
      <c r="A29" s="1" t="s">
        <v>48</v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15</v>
      </c>
      <c r="O29" s="9" t="n">
        <v>5</v>
      </c>
      <c r="P29" s="9" t="n">
        <v>5</v>
      </c>
      <c r="Q29" s="9" t="n">
        <v>3</v>
      </c>
      <c r="R29" s="9" t="n">
        <v>3</v>
      </c>
      <c r="S29" s="9" t="n">
        <v>3</v>
      </c>
      <c r="T29" s="9" t="n">
        <v>3</v>
      </c>
      <c r="U29" s="9" t="n">
        <v>3</v>
      </c>
      <c r="V29" s="9" t="n">
        <v>3</v>
      </c>
      <c r="W29" s="9" t="n">
        <v>3</v>
      </c>
      <c r="X29" s="9" t="n">
        <v>3</v>
      </c>
      <c r="Y29" s="9" t="n">
        <v>3</v>
      </c>
      <c r="Z29" s="10" t="n">
        <f aca="false">SUM(B29:Y29)</f>
        <v>52</v>
      </c>
      <c r="AA29" s="1" t="s">
        <v>49</v>
      </c>
    </row>
    <row r="31" customFormat="false" ht="15" hidden="false" customHeight="false" outlineLevel="0" collapsed="false">
      <c r="A31" s="3" t="s">
        <v>50</v>
      </c>
    </row>
    <row r="32" customFormat="false" ht="15" hidden="false" customHeight="false" outlineLevel="0" collapsed="false">
      <c r="A32" s="1" t="s">
        <v>51</v>
      </c>
      <c r="B32" s="6" t="n">
        <f aca="false">B25*$B$8</f>
        <v>0</v>
      </c>
      <c r="C32" s="6" t="n">
        <f aca="false">C25*$B$8</f>
        <v>2920</v>
      </c>
      <c r="D32" s="6" t="n">
        <f aca="false">D25*$B$8</f>
        <v>2920</v>
      </c>
      <c r="E32" s="6" t="n">
        <f aca="false">E25*$B$8</f>
        <v>2920</v>
      </c>
      <c r="F32" s="6" t="n">
        <f aca="false">F25*$B$8</f>
        <v>2920</v>
      </c>
      <c r="G32" s="6" t="n">
        <f aca="false">G25*$B$8</f>
        <v>0</v>
      </c>
      <c r="H32" s="6" t="n">
        <f aca="false">H25*$B$8</f>
        <v>3285</v>
      </c>
      <c r="I32" s="6" t="n">
        <f aca="false">I25*$B$8</f>
        <v>3285</v>
      </c>
      <c r="J32" s="6" t="n">
        <f aca="false">J25*$B$8</f>
        <v>5475</v>
      </c>
      <c r="K32" s="6" t="n">
        <f aca="false">K25*$B$8</f>
        <v>5475</v>
      </c>
      <c r="L32" s="6" t="n">
        <f aca="false">L25*$B$8</f>
        <v>5475</v>
      </c>
      <c r="M32" s="6" t="n">
        <f aca="false">M25*$B$8</f>
        <v>2190</v>
      </c>
      <c r="N32" s="6" t="n">
        <f aca="false">N25*$B$8</f>
        <v>6205</v>
      </c>
      <c r="O32" s="6" t="n">
        <f aca="false">O25*$B$8</f>
        <v>6205</v>
      </c>
      <c r="P32" s="6" t="n">
        <f aca="false">P25*$B$8</f>
        <v>6205</v>
      </c>
      <c r="Q32" s="6" t="n">
        <f aca="false">Q25*$B$8</f>
        <v>6205</v>
      </c>
      <c r="R32" s="6" t="n">
        <f aca="false">R25*$B$8</f>
        <v>6205</v>
      </c>
      <c r="S32" s="6" t="n">
        <f aca="false">S25*$B$8</f>
        <v>0</v>
      </c>
      <c r="T32" s="6" t="n">
        <f aca="false">T25*$B$8</f>
        <v>8395</v>
      </c>
      <c r="U32" s="6" t="n">
        <f aca="false">U25*$B$8</f>
        <v>8395</v>
      </c>
      <c r="V32" s="6" t="n">
        <f aca="false">V25*$B$8</f>
        <v>8395</v>
      </c>
      <c r="W32" s="6" t="n">
        <f aca="false">W25*$B$8</f>
        <v>8395</v>
      </c>
      <c r="X32" s="6" t="n">
        <f aca="false">X25*$B$8</f>
        <v>8395</v>
      </c>
      <c r="Y32" s="6" t="n">
        <f aca="false">Y25*$B$8</f>
        <v>0</v>
      </c>
      <c r="Z32" s="6" t="n">
        <f aca="false">SUM(B32:Y32)</f>
        <v>109865</v>
      </c>
    </row>
    <row r="33" customFormat="false" ht="15" hidden="false" customHeight="false" outlineLevel="0" collapsed="false">
      <c r="A33" s="1" t="s">
        <v>42</v>
      </c>
      <c r="B33" s="6" t="n">
        <f aca="false">B26*$B$10</f>
        <v>0</v>
      </c>
      <c r="C33" s="6" t="n">
        <f aca="false">C26*$B$10</f>
        <v>0</v>
      </c>
      <c r="D33" s="6" t="n">
        <f aca="false">D26*$B$10</f>
        <v>0</v>
      </c>
      <c r="E33" s="6" t="n">
        <f aca="false">E26*$B$10</f>
        <v>0</v>
      </c>
      <c r="F33" s="6" t="n">
        <f aca="false">F26*$B$10</f>
        <v>0</v>
      </c>
      <c r="G33" s="6" t="n">
        <f aca="false">G26*$B$10</f>
        <v>2500</v>
      </c>
      <c r="H33" s="6" t="n">
        <f aca="false">H26*$B$10</f>
        <v>2500</v>
      </c>
      <c r="I33" s="6" t="n">
        <f aca="false">I26*$B$10</f>
        <v>2500</v>
      </c>
      <c r="J33" s="6" t="n">
        <f aca="false">J26*$B$10</f>
        <v>2500</v>
      </c>
      <c r="K33" s="6" t="n">
        <f aca="false">K26*$B$10</f>
        <v>2500</v>
      </c>
      <c r="L33" s="6" t="n">
        <f aca="false">L26*$B$10</f>
        <v>5000</v>
      </c>
      <c r="M33" s="6" t="n">
        <f aca="false">M26*$B$10</f>
        <v>5000</v>
      </c>
      <c r="N33" s="6" t="n">
        <f aca="false">N26*$B$10</f>
        <v>5000</v>
      </c>
      <c r="O33" s="6" t="n">
        <f aca="false">O26*$B$10</f>
        <v>5000</v>
      </c>
      <c r="P33" s="6" t="n">
        <f aca="false">P26*$B$10</f>
        <v>5000</v>
      </c>
      <c r="Q33" s="6" t="n">
        <f aca="false">Q26*$B$10</f>
        <v>5000</v>
      </c>
      <c r="R33" s="6" t="n">
        <f aca="false">R26*$B$10</f>
        <v>5000</v>
      </c>
      <c r="S33" s="6" t="n">
        <f aca="false">S26*$B$10</f>
        <v>5000</v>
      </c>
      <c r="T33" s="6" t="n">
        <f aca="false">T26*$B$10</f>
        <v>5000</v>
      </c>
      <c r="U33" s="6" t="n">
        <f aca="false">U26*$B$10</f>
        <v>5000</v>
      </c>
      <c r="V33" s="6" t="n">
        <f aca="false">V26*$B$10</f>
        <v>5000</v>
      </c>
      <c r="W33" s="6" t="n">
        <f aca="false">W26*$B$10</f>
        <v>5000</v>
      </c>
      <c r="X33" s="6" t="n">
        <f aca="false">X26*$B$10</f>
        <v>5000</v>
      </c>
      <c r="Y33" s="6" t="n">
        <f aca="false">Y26*$B$10</f>
        <v>5000</v>
      </c>
      <c r="Z33" s="6" t="n">
        <f aca="false">SUM(B33:Y33)</f>
        <v>82500</v>
      </c>
    </row>
    <row r="34" customFormat="false" ht="15" hidden="false" customHeight="false" outlineLevel="0" collapsed="false">
      <c r="A34" s="1" t="s">
        <v>52</v>
      </c>
      <c r="B34" s="6" t="n">
        <f aca="false">B27</f>
        <v>0</v>
      </c>
      <c r="C34" s="6" t="n">
        <f aca="false">C27</f>
        <v>0</v>
      </c>
      <c r="D34" s="6" t="n">
        <f aca="false">D27</f>
        <v>0</v>
      </c>
      <c r="E34" s="6" t="n">
        <f aca="false">E27</f>
        <v>0</v>
      </c>
      <c r="F34" s="6" t="n">
        <f aca="false">F27</f>
        <v>0</v>
      </c>
      <c r="G34" s="6" t="n">
        <f aca="false">G27</f>
        <v>0</v>
      </c>
      <c r="H34" s="6" t="n">
        <f aca="false">H27</f>
        <v>5000</v>
      </c>
      <c r="I34" s="6" t="n">
        <f aca="false">I27</f>
        <v>0</v>
      </c>
      <c r="J34" s="6" t="n">
        <f aca="false">J27</f>
        <v>5000</v>
      </c>
      <c r="K34" s="6" t="n">
        <f aca="false">K27</f>
        <v>0</v>
      </c>
      <c r="L34" s="6" t="n">
        <f aca="false">L27</f>
        <v>0</v>
      </c>
      <c r="M34" s="6" t="n">
        <f aca="false">M27</f>
        <v>0</v>
      </c>
      <c r="N34" s="6" t="n">
        <f aca="false">N27</f>
        <v>5000</v>
      </c>
      <c r="O34" s="6" t="n">
        <f aca="false">O27</f>
        <v>0</v>
      </c>
      <c r="P34" s="6" t="n">
        <f aca="false">P27</f>
        <v>5000</v>
      </c>
      <c r="Q34" s="6" t="n">
        <f aca="false">Q27</f>
        <v>0</v>
      </c>
      <c r="R34" s="6" t="n">
        <f aca="false">R27</f>
        <v>0</v>
      </c>
      <c r="S34" s="6" t="n">
        <f aca="false">S27</f>
        <v>0</v>
      </c>
      <c r="T34" s="6" t="n">
        <f aca="false">T27</f>
        <v>10000</v>
      </c>
      <c r="U34" s="6" t="n">
        <f aca="false">U27</f>
        <v>10000</v>
      </c>
      <c r="V34" s="6" t="n">
        <f aca="false">V27</f>
        <v>5000</v>
      </c>
      <c r="W34" s="6" t="n">
        <f aca="false">W27</f>
        <v>0</v>
      </c>
      <c r="X34" s="6" t="n">
        <f aca="false">X27</f>
        <v>0</v>
      </c>
      <c r="Y34" s="6" t="n">
        <f aca="false">Y27</f>
        <v>0</v>
      </c>
      <c r="Z34" s="6" t="n">
        <f aca="false">SUM(B34:Y34)</f>
        <v>45000</v>
      </c>
    </row>
    <row r="35" customFormat="false" ht="15" hidden="false" customHeight="false" outlineLevel="0" collapsed="false">
      <c r="A35" s="1" t="s">
        <v>53</v>
      </c>
      <c r="B35" s="6" t="n">
        <f aca="false">B28*$B$13+B29*$B$15</f>
        <v>0</v>
      </c>
      <c r="C35" s="6" t="n">
        <f aca="false">C28*$B$13+C29*$B$15</f>
        <v>0</v>
      </c>
      <c r="D35" s="6" t="n">
        <f aca="false">D28*$B$13+D29*$B$15</f>
        <v>0</v>
      </c>
      <c r="E35" s="6" t="n">
        <f aca="false">E28*$B$13+E29*$B$15</f>
        <v>0</v>
      </c>
      <c r="F35" s="6" t="n">
        <f aca="false">F28*$B$13+F29*$B$15</f>
        <v>0</v>
      </c>
      <c r="G35" s="6" t="n">
        <f aca="false">G28*$B$13+G29*$B$15</f>
        <v>0</v>
      </c>
      <c r="H35" s="6" t="n">
        <f aca="false">H28*$B$13+H29*$B$15</f>
        <v>0</v>
      </c>
      <c r="I35" s="6" t="n">
        <f aca="false">I28*$B$13+I29*$B$15</f>
        <v>0</v>
      </c>
      <c r="J35" s="6" t="n">
        <f aca="false">J28*$B$13+J29*$B$15</f>
        <v>0</v>
      </c>
      <c r="K35" s="6" t="n">
        <f aca="false">K28*$B$13+K29*$B$15</f>
        <v>0</v>
      </c>
      <c r="L35" s="6" t="n">
        <f aca="false">L28*$B$13+L29*$B$15</f>
        <v>0</v>
      </c>
      <c r="M35" s="6" t="n">
        <f aca="false">M28*$B$13+M29*$B$15</f>
        <v>0</v>
      </c>
      <c r="N35" s="6" t="n">
        <f aca="false">N28*$B$13+N29*$B$15</f>
        <v>5400</v>
      </c>
      <c r="O35" s="6" t="n">
        <f aca="false">O28*$B$13+O29*$B$15</f>
        <v>1800</v>
      </c>
      <c r="P35" s="6" t="n">
        <f aca="false">P28*$B$13+P29*$B$15</f>
        <v>1800</v>
      </c>
      <c r="Q35" s="6" t="n">
        <f aca="false">Q28*$B$13+Q29*$B$15</f>
        <v>1080</v>
      </c>
      <c r="R35" s="6" t="n">
        <f aca="false">R28*$B$13+R29*$B$15</f>
        <v>1080</v>
      </c>
      <c r="S35" s="6" t="n">
        <f aca="false">S28*$B$13+S29*$B$15</f>
        <v>1080</v>
      </c>
      <c r="T35" s="6" t="n">
        <f aca="false">T28*$B$13+T29*$B$15</f>
        <v>1080</v>
      </c>
      <c r="U35" s="6" t="n">
        <f aca="false">U28*$B$13+U29*$B$15</f>
        <v>1080</v>
      </c>
      <c r="V35" s="6" t="n">
        <f aca="false">V28*$B$13+V29*$B$15</f>
        <v>44580</v>
      </c>
      <c r="W35" s="6" t="n">
        <f aca="false">W28*$B$13+W29*$B$15</f>
        <v>1080</v>
      </c>
      <c r="X35" s="6" t="n">
        <f aca="false">X28*$B$13+X29*$B$15</f>
        <v>1080</v>
      </c>
      <c r="Y35" s="6" t="n">
        <f aca="false">Y28*$B$13+Y29*$B$15</f>
        <v>1080</v>
      </c>
      <c r="Z35" s="6" t="n">
        <f aca="false">SUM(B35:Y35)</f>
        <v>62220</v>
      </c>
    </row>
    <row r="36" customFormat="false" ht="15" hidden="false" customHeight="false" outlineLevel="0" collapsed="false">
      <c r="A36" s="3" t="s">
        <v>54</v>
      </c>
    </row>
    <row r="37" customFormat="false" ht="15" hidden="false" customHeight="false" outlineLevel="0" collapsed="false">
      <c r="A37" s="1" t="s">
        <v>55</v>
      </c>
      <c r="B37" s="6" t="n">
        <f aca="false">B25*$B$9</f>
        <v>0</v>
      </c>
      <c r="C37" s="6" t="n">
        <f aca="false">C25*$B$9</f>
        <v>1600</v>
      </c>
      <c r="D37" s="6" t="n">
        <f aca="false">D25*$B$9</f>
        <v>1600</v>
      </c>
      <c r="E37" s="6" t="n">
        <f aca="false">E25*$B$9</f>
        <v>1600</v>
      </c>
      <c r="F37" s="6" t="n">
        <f aca="false">F25*$B$9</f>
        <v>1600</v>
      </c>
      <c r="G37" s="6" t="n">
        <f aca="false">G25*$B$9</f>
        <v>0</v>
      </c>
      <c r="H37" s="6" t="n">
        <f aca="false">H25*$B$9</f>
        <v>1800</v>
      </c>
      <c r="I37" s="6" t="n">
        <f aca="false">I25*$B$9</f>
        <v>1800</v>
      </c>
      <c r="J37" s="6" t="n">
        <f aca="false">J25*$B$9</f>
        <v>3000</v>
      </c>
      <c r="K37" s="6" t="n">
        <f aca="false">K25*$B$9</f>
        <v>3000</v>
      </c>
      <c r="L37" s="6" t="n">
        <f aca="false">L25*$B$9</f>
        <v>3000</v>
      </c>
      <c r="M37" s="6" t="n">
        <f aca="false">M25*$B$9</f>
        <v>1200</v>
      </c>
      <c r="N37" s="6" t="n">
        <f aca="false">N25*$B$9</f>
        <v>3400</v>
      </c>
      <c r="O37" s="6" t="n">
        <f aca="false">O25*$B$9</f>
        <v>3400</v>
      </c>
      <c r="P37" s="6" t="n">
        <f aca="false">P25*$B$9</f>
        <v>3400</v>
      </c>
      <c r="Q37" s="6" t="n">
        <f aca="false">Q25*$B$9</f>
        <v>3400</v>
      </c>
      <c r="R37" s="6" t="n">
        <f aca="false">R25*$B$9</f>
        <v>3400</v>
      </c>
      <c r="S37" s="6" t="n">
        <f aca="false">S25*$B$9</f>
        <v>0</v>
      </c>
      <c r="T37" s="6" t="n">
        <f aca="false">T25*$B$9</f>
        <v>4600</v>
      </c>
      <c r="U37" s="6" t="n">
        <f aca="false">U25*$B$9</f>
        <v>4600</v>
      </c>
      <c r="V37" s="6" t="n">
        <f aca="false">V25*$B$9</f>
        <v>4600</v>
      </c>
      <c r="W37" s="6" t="n">
        <f aca="false">W25*$B$9</f>
        <v>4600</v>
      </c>
      <c r="X37" s="6" t="n">
        <f aca="false">X25*$B$9</f>
        <v>4600</v>
      </c>
      <c r="Y37" s="6" t="n">
        <f aca="false">Y25*$B$9</f>
        <v>0</v>
      </c>
      <c r="Z37" s="6" t="n">
        <f aca="false">SUM(B37:Y37)</f>
        <v>60200</v>
      </c>
    </row>
    <row r="38" customFormat="false" ht="15" hidden="false" customHeight="false" outlineLevel="0" collapsed="false">
      <c r="A38" s="1" t="s">
        <v>56</v>
      </c>
      <c r="B38" s="6" t="n">
        <f aca="false">B26*$B$11</f>
        <v>0</v>
      </c>
      <c r="C38" s="6" t="n">
        <f aca="false">C26*$B$11</f>
        <v>0</v>
      </c>
      <c r="D38" s="6" t="n">
        <f aca="false">D26*$B$11</f>
        <v>0</v>
      </c>
      <c r="E38" s="6" t="n">
        <f aca="false">E26*$B$11</f>
        <v>0</v>
      </c>
      <c r="F38" s="6" t="n">
        <f aca="false">F26*$B$11</f>
        <v>0</v>
      </c>
      <c r="G38" s="6" t="n">
        <f aca="false">G26*$B$11</f>
        <v>1280</v>
      </c>
      <c r="H38" s="6" t="n">
        <f aca="false">H26*$B$11</f>
        <v>1280</v>
      </c>
      <c r="I38" s="6" t="n">
        <f aca="false">I26*$B$11</f>
        <v>1280</v>
      </c>
      <c r="J38" s="6" t="n">
        <f aca="false">J26*$B$11</f>
        <v>1280</v>
      </c>
      <c r="K38" s="6" t="n">
        <f aca="false">K26*$B$11</f>
        <v>1280</v>
      </c>
      <c r="L38" s="6" t="n">
        <f aca="false">L26*$B$11</f>
        <v>2560</v>
      </c>
      <c r="M38" s="6" t="n">
        <f aca="false">M26*$B$11</f>
        <v>2560</v>
      </c>
      <c r="N38" s="6" t="n">
        <f aca="false">N26*$B$11</f>
        <v>2560</v>
      </c>
      <c r="O38" s="6" t="n">
        <f aca="false">O26*$B$11</f>
        <v>2560</v>
      </c>
      <c r="P38" s="6" t="n">
        <f aca="false">P26*$B$11</f>
        <v>2560</v>
      </c>
      <c r="Q38" s="6" t="n">
        <f aca="false">Q26*$B$11</f>
        <v>2560</v>
      </c>
      <c r="R38" s="6" t="n">
        <f aca="false">R26*$B$11</f>
        <v>2560</v>
      </c>
      <c r="S38" s="6" t="n">
        <f aca="false">S26*$B$11</f>
        <v>2560</v>
      </c>
      <c r="T38" s="6" t="n">
        <f aca="false">T26*$B$11</f>
        <v>2560</v>
      </c>
      <c r="U38" s="6" t="n">
        <f aca="false">U26*$B$11</f>
        <v>2560</v>
      </c>
      <c r="V38" s="6" t="n">
        <f aca="false">V26*$B$11</f>
        <v>2560</v>
      </c>
      <c r="W38" s="6" t="n">
        <f aca="false">W26*$B$11</f>
        <v>2560</v>
      </c>
      <c r="X38" s="6" t="n">
        <f aca="false">X26*$B$11</f>
        <v>2560</v>
      </c>
      <c r="Y38" s="6" t="n">
        <f aca="false">Y26*$B$11</f>
        <v>2560</v>
      </c>
      <c r="Z38" s="6" t="n">
        <f aca="false">SUM(B38:Y38)</f>
        <v>42240</v>
      </c>
    </row>
    <row r="39" customFormat="false" ht="15" hidden="false" customHeight="false" outlineLevel="0" collapsed="false">
      <c r="A39" s="1" t="s">
        <v>57</v>
      </c>
      <c r="B39" s="6" t="n">
        <f aca="false">B27*$B$12</f>
        <v>0</v>
      </c>
      <c r="C39" s="6" t="n">
        <f aca="false">C27*$B$12</f>
        <v>0</v>
      </c>
      <c r="D39" s="6" t="n">
        <f aca="false">D27*$B$12</f>
        <v>0</v>
      </c>
      <c r="E39" s="6" t="n">
        <f aca="false">E27*$B$12</f>
        <v>0</v>
      </c>
      <c r="F39" s="6" t="n">
        <f aca="false">F27*$B$12</f>
        <v>0</v>
      </c>
      <c r="G39" s="6" t="n">
        <f aca="false">G27*$B$12</f>
        <v>0</v>
      </c>
      <c r="H39" s="6" t="n">
        <f aca="false">H27*$B$12</f>
        <v>500</v>
      </c>
      <c r="I39" s="6" t="n">
        <f aca="false">I27*$B$12</f>
        <v>0</v>
      </c>
      <c r="J39" s="6" t="n">
        <f aca="false">J27*$B$12</f>
        <v>500</v>
      </c>
      <c r="K39" s="6" t="n">
        <f aca="false">K27*$B$12</f>
        <v>0</v>
      </c>
      <c r="L39" s="6" t="n">
        <f aca="false">L27*$B$12</f>
        <v>0</v>
      </c>
      <c r="M39" s="6" t="n">
        <f aca="false">M27*$B$12</f>
        <v>0</v>
      </c>
      <c r="N39" s="6" t="n">
        <f aca="false">N27*$B$12</f>
        <v>500</v>
      </c>
      <c r="O39" s="6" t="n">
        <f aca="false">O27*$B$12</f>
        <v>0</v>
      </c>
      <c r="P39" s="6" t="n">
        <f aca="false">P27*$B$12</f>
        <v>500</v>
      </c>
      <c r="Q39" s="6" t="n">
        <f aca="false">Q27*$B$12</f>
        <v>0</v>
      </c>
      <c r="R39" s="6" t="n">
        <f aca="false">R27*$B$12</f>
        <v>0</v>
      </c>
      <c r="S39" s="6" t="n">
        <f aca="false">S27*$B$12</f>
        <v>0</v>
      </c>
      <c r="T39" s="6" t="n">
        <f aca="false">T27*$B$12</f>
        <v>1000</v>
      </c>
      <c r="U39" s="6" t="n">
        <f aca="false">U27*$B$12</f>
        <v>1000</v>
      </c>
      <c r="V39" s="6" t="n">
        <f aca="false">V27*$B$12</f>
        <v>500</v>
      </c>
      <c r="W39" s="6" t="n">
        <f aca="false">W27*$B$12</f>
        <v>0</v>
      </c>
      <c r="X39" s="6" t="n">
        <f aca="false">X27*$B$12</f>
        <v>0</v>
      </c>
      <c r="Y39" s="6" t="n">
        <f aca="false">Y27*$B$12</f>
        <v>0</v>
      </c>
      <c r="Z39" s="6" t="n">
        <f aca="false">SUM(B39:Y39)</f>
        <v>4500</v>
      </c>
    </row>
    <row r="40" customFormat="false" ht="15" hidden="false" customHeight="false" outlineLevel="0" collapsed="false">
      <c r="A40" s="1" t="s">
        <v>58</v>
      </c>
      <c r="B40" s="6" t="n">
        <f aca="false">B28*$B$14+B29*$B$16</f>
        <v>0</v>
      </c>
      <c r="C40" s="6" t="n">
        <f aca="false">C28*$B$14+C29*$B$16</f>
        <v>0</v>
      </c>
      <c r="D40" s="6" t="n">
        <f aca="false">D28*$B$14+D29*$B$16</f>
        <v>0</v>
      </c>
      <c r="E40" s="6" t="n">
        <f aca="false">E28*$B$14+E29*$B$16</f>
        <v>0</v>
      </c>
      <c r="F40" s="6" t="n">
        <f aca="false">F28*$B$14+F29*$B$16</f>
        <v>0</v>
      </c>
      <c r="G40" s="6" t="n">
        <f aca="false">G28*$B$14+G29*$B$16</f>
        <v>0</v>
      </c>
      <c r="H40" s="6" t="n">
        <f aca="false">H28*$B$14+H29*$B$16</f>
        <v>0</v>
      </c>
      <c r="I40" s="6" t="n">
        <f aca="false">I28*$B$14+I29*$B$16</f>
        <v>0</v>
      </c>
      <c r="J40" s="6" t="n">
        <f aca="false">J28*$B$14+J29*$B$16</f>
        <v>0</v>
      </c>
      <c r="K40" s="6" t="n">
        <f aca="false">K28*$B$14+K29*$B$16</f>
        <v>0</v>
      </c>
      <c r="L40" s="6" t="n">
        <f aca="false">L28*$B$14+L29*$B$16</f>
        <v>0</v>
      </c>
      <c r="M40" s="6" t="n">
        <f aca="false">M28*$B$14+M29*$B$16</f>
        <v>0</v>
      </c>
      <c r="N40" s="6" t="n">
        <f aca="false">N28*$B$14+N29*$B$16</f>
        <v>3375</v>
      </c>
      <c r="O40" s="6" t="n">
        <f aca="false">O28*$B$14+O29*$B$16</f>
        <v>1125</v>
      </c>
      <c r="P40" s="6" t="n">
        <f aca="false">P28*$B$14+P29*$B$16</f>
        <v>1125</v>
      </c>
      <c r="Q40" s="6" t="n">
        <f aca="false">Q28*$B$14+Q29*$B$16</f>
        <v>675</v>
      </c>
      <c r="R40" s="6" t="n">
        <f aca="false">R28*$B$14+R29*$B$16</f>
        <v>675</v>
      </c>
      <c r="S40" s="6" t="n">
        <f aca="false">S28*$B$14+S29*$B$16</f>
        <v>675</v>
      </c>
      <c r="T40" s="6" t="n">
        <f aca="false">T28*$B$14+T29*$B$16</f>
        <v>675</v>
      </c>
      <c r="U40" s="6" t="n">
        <f aca="false">U28*$B$14+U29*$B$16</f>
        <v>675</v>
      </c>
      <c r="V40" s="6" t="n">
        <f aca="false">V28*$B$14+V29*$B$16</f>
        <v>33375</v>
      </c>
      <c r="W40" s="6" t="n">
        <f aca="false">W28*$B$14+W29*$B$16</f>
        <v>675</v>
      </c>
      <c r="X40" s="6" t="n">
        <f aca="false">X28*$B$14+X29*$B$16</f>
        <v>675</v>
      </c>
      <c r="Y40" s="6" t="n">
        <f aca="false">Y28*$B$14+Y29*$B$16</f>
        <v>675</v>
      </c>
      <c r="Z40" s="6" t="n">
        <f aca="false">SUM(B40:Y40)</f>
        <v>44400</v>
      </c>
    </row>
    <row r="42" customFormat="false" ht="15" hidden="false" customHeight="false" outlineLevel="0" collapsed="false">
      <c r="A42" s="3" t="s">
        <v>59</v>
      </c>
    </row>
    <row r="43" customFormat="false" ht="15" hidden="false" customHeight="false" outlineLevel="0" collapsed="false">
      <c r="A43" s="1" t="s">
        <v>60</v>
      </c>
      <c r="B43" s="4" t="n">
        <v>5000</v>
      </c>
      <c r="C43" s="1" t="s">
        <v>61</v>
      </c>
    </row>
    <row r="44" customFormat="false" ht="15" hidden="false" customHeight="false" outlineLevel="0" collapsed="false">
      <c r="A44" s="1" t="s">
        <v>62</v>
      </c>
      <c r="B44" s="4" t="n">
        <v>10000</v>
      </c>
      <c r="C44" s="1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C18" activeCellId="0" sqref="C1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1" width="2.42"/>
    <col collapsed="false" customWidth="true" hidden="false" outlineLevel="0" max="3" min="3" style="1" width="10.85"/>
    <col collapsed="false" customWidth="true" hidden="false" outlineLevel="0" max="4" min="4" style="1" width="2.57"/>
    <col collapsed="false" customWidth="true" hidden="false" outlineLevel="0" max="5" min="5" style="1" width="12.42"/>
    <col collapsed="false" customWidth="true" hidden="false" outlineLevel="0" max="6" min="6" style="1" width="2.71"/>
    <col collapsed="false" customWidth="true" hidden="false" outlineLevel="0" max="18" min="7" style="1" width="16.85"/>
    <col collapsed="false" customWidth="true" hidden="false" outlineLevel="0" max="19" min="19" style="1" width="13.86"/>
  </cols>
  <sheetData>
    <row r="1" customFormat="false" ht="15" hidden="false" customHeight="false" outlineLevel="0" collapsed="false">
      <c r="A1" s="11" t="s">
        <v>64</v>
      </c>
      <c r="B1" s="11"/>
      <c r="C1" s="11"/>
      <c r="D1" s="11"/>
      <c r="E1" s="11"/>
      <c r="F1" s="11"/>
    </row>
    <row r="2" customFormat="false" ht="15" hidden="false" customHeight="false" outlineLevel="0" collapsed="false">
      <c r="A2" s="1" t="s">
        <v>65</v>
      </c>
    </row>
    <row r="3" customFormat="false" ht="15" hidden="false" customHeight="false" outlineLevel="0" collapsed="false">
      <c r="A3" s="12" t="s">
        <v>66</v>
      </c>
      <c r="B3" s="12"/>
      <c r="C3" s="12" t="s">
        <v>67</v>
      </c>
      <c r="D3" s="12"/>
      <c r="E3" s="12" t="s">
        <v>68</v>
      </c>
      <c r="F3" s="12"/>
      <c r="G3" s="12" t="s">
        <v>69</v>
      </c>
      <c r="H3" s="12" t="s">
        <v>70</v>
      </c>
      <c r="I3" s="12" t="s">
        <v>71</v>
      </c>
      <c r="J3" s="12" t="s">
        <v>72</v>
      </c>
      <c r="K3" s="12" t="s">
        <v>73</v>
      </c>
      <c r="L3" s="12" t="s">
        <v>74</v>
      </c>
      <c r="M3" s="12" t="s">
        <v>75</v>
      </c>
      <c r="N3" s="12" t="s">
        <v>76</v>
      </c>
      <c r="O3" s="12" t="s">
        <v>77</v>
      </c>
      <c r="P3" s="12" t="s">
        <v>78</v>
      </c>
      <c r="Q3" s="12" t="s">
        <v>79</v>
      </c>
      <c r="R3" s="12" t="s">
        <v>80</v>
      </c>
      <c r="S3" s="12" t="s">
        <v>81</v>
      </c>
    </row>
    <row r="4" customFormat="false" ht="15" hidden="false" customHeight="false" outlineLevel="0" collapsed="false">
      <c r="A4" s="13" t="n">
        <v>15000</v>
      </c>
      <c r="C4" s="14" t="n">
        <v>5</v>
      </c>
      <c r="E4" s="15" t="n">
        <v>0.1</v>
      </c>
      <c r="G4" s="16" t="n">
        <f aca="false">IPMT(E4/12, 1, (C4*12), -A4)</f>
        <v>125</v>
      </c>
      <c r="H4" s="16" t="n">
        <f aca="false">IPMT(E4/12, 2, (C4*12), -A4)</f>
        <v>123.385786077758</v>
      </c>
      <c r="I4" s="16" t="n">
        <f aca="false">IPMT(E4/12, 3, (C4*12), -A4)</f>
        <v>121.758120372831</v>
      </c>
      <c r="J4" s="16" t="n">
        <f aca="false">IPMT(E4/12, 4, (C4*12), -A4)</f>
        <v>120.116890787029</v>
      </c>
      <c r="K4" s="16" t="n">
        <f aca="false">IPMT(E4/12, 5, (C4*12), -A4)</f>
        <v>118.461984288013</v>
      </c>
      <c r="L4" s="16" t="n">
        <f aca="false">IPMT(E4/12, 6, (C4*12), -A4)</f>
        <v>116.793286901504</v>
      </c>
      <c r="M4" s="16" t="n">
        <f aca="false">IPMT(E4/12, 7, (C4*12), -A4)</f>
        <v>115.110683703442</v>
      </c>
      <c r="N4" s="16" t="n">
        <f aca="false">IPMT(E4/12, 8, (C4*12), -A4)</f>
        <v>113.414058812062</v>
      </c>
      <c r="O4" s="16" t="n">
        <f aca="false">IPMT(E4/12, 9, (C4*12), -A4)</f>
        <v>111.70329537992</v>
      </c>
      <c r="P4" s="16" t="n">
        <f aca="false">IPMT(E4/12, 10, (C4*12), -A4)</f>
        <v>109.978275585845</v>
      </c>
      <c r="Q4" s="16" t="n">
        <f aca="false">IPMT(E4/12, 11, (C4*12), -A4)</f>
        <v>108.238880626818</v>
      </c>
      <c r="R4" s="16" t="n">
        <f aca="false">IPMT(E4/12, 12, (C4*12), -A4)</f>
        <v>106.4849907098</v>
      </c>
      <c r="S4" s="16" t="n">
        <f aca="false">SUM(G4:R4)</f>
        <v>1390.44625324502</v>
      </c>
    </row>
    <row r="6" customFormat="false" ht="15" hidden="false" customHeight="false" outlineLevel="0" collapsed="false">
      <c r="A6" s="12" t="s">
        <v>82</v>
      </c>
      <c r="G6" s="1" t="s">
        <v>83</v>
      </c>
      <c r="H6" s="1" t="s">
        <v>84</v>
      </c>
      <c r="I6" s="1" t="s">
        <v>85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90</v>
      </c>
      <c r="O6" s="1" t="s">
        <v>91</v>
      </c>
      <c r="P6" s="1" t="s">
        <v>92</v>
      </c>
      <c r="Q6" s="1" t="s">
        <v>93</v>
      </c>
      <c r="R6" s="1" t="s">
        <v>94</v>
      </c>
      <c r="S6" s="1" t="s">
        <v>95</v>
      </c>
    </row>
    <row r="7" customFormat="false" ht="15" hidden="false" customHeight="false" outlineLevel="0" collapsed="false">
      <c r="A7" s="16" t="n">
        <f aca="false">PMT(E4/12,C4*12, -A4)</f>
        <v>318.705670669024</v>
      </c>
      <c r="G7" s="16" t="n">
        <f aca="false">IPMT(E4/12, 13, (C4*12), -A4)</f>
        <v>104.716485043473</v>
      </c>
      <c r="H7" s="16" t="n">
        <f aca="false">IPMT(E4/12, 14, (C4*12), -A4)</f>
        <v>102.933241829927</v>
      </c>
      <c r="I7" s="16" t="n">
        <f aca="false">IPMT(E4/12, 15, (C4*12), -A4)</f>
        <v>101.135138256267</v>
      </c>
      <c r="J7" s="16" t="n">
        <f aca="false">IPMT(E4/12, 16, (C4*12), -A4)</f>
        <v>99.3220504861611</v>
      </c>
      <c r="K7" s="16" t="n">
        <f aca="false">IPMT(E4/12, 17, (C4*12), -A4)</f>
        <v>97.4938536513039</v>
      </c>
      <c r="L7" s="16" t="n">
        <f aca="false">IPMT(E4/12, 18, (C4*12), -A4)</f>
        <v>95.650421842823</v>
      </c>
      <c r="M7" s="16" t="n">
        <f aca="false">IPMT(E4/12, 19, (C4*12), -A4)</f>
        <v>93.7916281026047</v>
      </c>
      <c r="N7" s="16" t="n">
        <f aca="false">IPMT(E4/12, 20, (C4*12), -A4)</f>
        <v>91.9173444145512</v>
      </c>
      <c r="O7" s="16" t="n">
        <f aca="false">IPMT(E4/12, 21, (C4*12), -A4)</f>
        <v>90.0274416957639</v>
      </c>
      <c r="P7" s="16" t="n">
        <f aca="false">IPMT(E4/12, 22, (C4*12), -A4)</f>
        <v>88.1217897876534</v>
      </c>
      <c r="Q7" s="16" t="n">
        <f aca="false">IPMT(E4/12, 23, (C4*12), -A4)</f>
        <v>86.2002574469753</v>
      </c>
      <c r="R7" s="16" t="n">
        <f aca="false">IPMT(E4/12, 24, (C4*12), -A4)</f>
        <v>84.2627123367916</v>
      </c>
      <c r="S7" s="17" t="n">
        <f aca="false">SUM(G7:R7)</f>
        <v>1135.57236489429</v>
      </c>
    </row>
    <row r="9" customFormat="false" ht="15" hidden="false" customHeight="false" outlineLevel="0" collapsed="false">
      <c r="A9" s="12" t="s">
        <v>66</v>
      </c>
      <c r="B9" s="12"/>
      <c r="C9" s="12" t="s">
        <v>67</v>
      </c>
      <c r="D9" s="12"/>
      <c r="E9" s="12" t="s">
        <v>68</v>
      </c>
      <c r="F9" s="12"/>
      <c r="G9" s="12" t="s">
        <v>69</v>
      </c>
      <c r="H9" s="12" t="s">
        <v>70</v>
      </c>
      <c r="I9" s="12" t="s">
        <v>71</v>
      </c>
      <c r="J9" s="12" t="s">
        <v>72</v>
      </c>
      <c r="K9" s="12" t="s">
        <v>73</v>
      </c>
      <c r="L9" s="12" t="s">
        <v>74</v>
      </c>
      <c r="M9" s="12" t="s">
        <v>75</v>
      </c>
      <c r="N9" s="12" t="s">
        <v>76</v>
      </c>
      <c r="O9" s="12" t="s">
        <v>77</v>
      </c>
      <c r="P9" s="12" t="s">
        <v>78</v>
      </c>
      <c r="Q9" s="12" t="s">
        <v>79</v>
      </c>
      <c r="R9" s="12" t="s">
        <v>80</v>
      </c>
      <c r="S9" s="12" t="s">
        <v>81</v>
      </c>
    </row>
    <row r="10" customFormat="false" ht="15" hidden="false" customHeight="false" outlineLevel="0" collapsed="false">
      <c r="A10" s="18" t="n">
        <v>0</v>
      </c>
      <c r="C10" s="19" t="n">
        <v>10</v>
      </c>
      <c r="E10" s="20" t="n">
        <v>0.08</v>
      </c>
      <c r="G10" s="16" t="n">
        <f aca="false">IPMT(E10/12, 1, (C10*12), -A10)</f>
        <v>0</v>
      </c>
      <c r="H10" s="16" t="n">
        <f aca="false">IPMT(E10/12, 2, (C10*12), -A10)</f>
        <v>0</v>
      </c>
      <c r="I10" s="16" t="n">
        <f aca="false">IPMT(E10/12, 3, (C10*12), -A10)</f>
        <v>0</v>
      </c>
      <c r="J10" s="16" t="n">
        <f aca="false">IPMT(E10/12, 4, (C10*12), -A10)</f>
        <v>0</v>
      </c>
      <c r="K10" s="16" t="n">
        <f aca="false">IPMT(E10/12, 5, (C10*12), -A10)</f>
        <v>0</v>
      </c>
      <c r="L10" s="16" t="n">
        <f aca="false">IPMT(E10/12, 6, (C10*12), -A10)</f>
        <v>0</v>
      </c>
      <c r="M10" s="16" t="n">
        <f aca="false">IPMT(E10/12, 7, (C10*12), -A10)</f>
        <v>0</v>
      </c>
      <c r="N10" s="16" t="n">
        <f aca="false">IPMT(E10/12, 8, (C10*12), -A10)</f>
        <v>0</v>
      </c>
      <c r="O10" s="16" t="n">
        <f aca="false">IPMT(E10/12, 9, (C10*12), -A10)</f>
        <v>0</v>
      </c>
      <c r="P10" s="16" t="n">
        <f aca="false">IPMT(E10/12, 10, (C10*12), -A10)</f>
        <v>0</v>
      </c>
      <c r="Q10" s="16" t="n">
        <f aca="false">IPMT(E10/12, 11, (C10*12), -A10)</f>
        <v>0</v>
      </c>
      <c r="R10" s="16" t="n">
        <f aca="false">IPMT(E10/12, 12, (C10*12), -A10)</f>
        <v>0</v>
      </c>
      <c r="S10" s="16" t="n">
        <f aca="false">SUM(G10:R10)</f>
        <v>0</v>
      </c>
    </row>
    <row r="12" customFormat="false" ht="15" hidden="false" customHeight="false" outlineLevel="0" collapsed="false">
      <c r="A12" s="12" t="s">
        <v>82</v>
      </c>
      <c r="G12" s="1" t="s">
        <v>83</v>
      </c>
      <c r="H12" s="1" t="s">
        <v>84</v>
      </c>
      <c r="I12" s="1" t="s">
        <v>85</v>
      </c>
      <c r="J12" s="1" t="s">
        <v>86</v>
      </c>
      <c r="K12" s="1" t="s">
        <v>87</v>
      </c>
      <c r="L12" s="1" t="s">
        <v>88</v>
      </c>
      <c r="M12" s="1" t="s">
        <v>89</v>
      </c>
      <c r="N12" s="1" t="s">
        <v>90</v>
      </c>
      <c r="O12" s="1" t="s">
        <v>91</v>
      </c>
      <c r="P12" s="1" t="s">
        <v>92</v>
      </c>
      <c r="Q12" s="1" t="s">
        <v>93</v>
      </c>
      <c r="R12" s="1" t="s">
        <v>94</v>
      </c>
      <c r="S12" s="1" t="s">
        <v>95</v>
      </c>
    </row>
    <row r="13" customFormat="false" ht="15" hidden="false" customHeight="false" outlineLevel="0" collapsed="false">
      <c r="A13" s="16" t="n">
        <f aca="false">PMT(E10/12,C10*12, -A10)</f>
        <v>-0</v>
      </c>
      <c r="G13" s="16" t="n">
        <f aca="false">IPMT(E10/12, 13, (C10*12), -A10)</f>
        <v>0</v>
      </c>
      <c r="H13" s="16" t="n">
        <f aca="false">IPMT(E10/12, 14, (C10*12), -A10)</f>
        <v>0</v>
      </c>
      <c r="I13" s="16" t="n">
        <f aca="false">IPMT(E10/12, 15, (C10*12), -A10)</f>
        <v>0</v>
      </c>
      <c r="J13" s="16" t="n">
        <f aca="false">IPMT(E10/12, 16, (C10*12), -A10)</f>
        <v>0</v>
      </c>
      <c r="K13" s="16" t="n">
        <f aca="false">IPMT(E10/12, 17, (C10*12), -A10)</f>
        <v>0</v>
      </c>
      <c r="L13" s="16" t="n">
        <f aca="false">IPMT(E10/12, 18, (C10*12), -A10)</f>
        <v>0</v>
      </c>
      <c r="M13" s="16" t="n">
        <f aca="false">IPMT(E10/12, 19, (C10*12), -A10)</f>
        <v>0</v>
      </c>
      <c r="N13" s="16" t="n">
        <f aca="false">IPMT(E10/12, 20, (C10*12), -A10)</f>
        <v>0</v>
      </c>
      <c r="O13" s="16" t="n">
        <f aca="false">IPMT(E10/12, 21, (C10*12), -A10)</f>
        <v>0</v>
      </c>
      <c r="P13" s="16" t="n">
        <f aca="false">IPMT(E10/12, 22, (C10*12), -A10)</f>
        <v>0</v>
      </c>
      <c r="Q13" s="16" t="n">
        <f aca="false">IPMT(E10/12, 23, (C10*12), -A10)</f>
        <v>0</v>
      </c>
      <c r="R13" s="16" t="n">
        <f aca="false">IPMT(E10/12, 24, (C10*12), -A10)</f>
        <v>0</v>
      </c>
      <c r="S13" s="17" t="n">
        <f aca="false">SUM(G13:R13)</f>
        <v>0</v>
      </c>
    </row>
    <row r="16" customFormat="false" ht="15" hidden="false" customHeight="false" outlineLevel="0" collapsed="false">
      <c r="A16" s="1" t="s">
        <v>96</v>
      </c>
    </row>
    <row r="18" customFormat="false" ht="15" hidden="false" customHeight="false" outlineLevel="0" collapsed="false">
      <c r="A18" s="21" t="s">
        <v>97</v>
      </c>
      <c r="C18" s="22" t="n">
        <f aca="false">IFERROR(('1st Year Projections'!N41+'1st Year Projections'!N33)/(('Proposed Loan Details'!A7+A13)*12),0)</f>
        <v>2.15050168983375</v>
      </c>
    </row>
    <row r="19" customFormat="false" ht="15" hidden="false" customHeight="false" outlineLevel="0" collapsed="false">
      <c r="A19" s="21" t="s">
        <v>98</v>
      </c>
      <c r="C19" s="23" t="n">
        <f aca="false">IFERROR(('2nd Year Projections'!N41 + '2nd Year Projections'!N33)/(('Proposed Loan Details'!A7+A13)*12),0)</f>
        <v>15.8828101678915</v>
      </c>
    </row>
  </sheetData>
  <mergeCells count="1">
    <mergeCell ref="A1:F1"/>
  </mergeCells>
  <conditionalFormatting sqref="C18:C19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H5" activeCellId="0" sqref="H5"/>
    </sheetView>
  </sheetViews>
  <sheetFormatPr defaultColWidth="9.1484375" defaultRowHeight="15" zeroHeight="false" outlineLevelRow="0" outlineLevelCol="0"/>
  <cols>
    <col collapsed="false" customWidth="true" hidden="false" outlineLevel="0" max="1" min="1" style="24" width="26.71"/>
    <col collapsed="false" customWidth="true" hidden="false" outlineLevel="0" max="13" min="2" style="24" width="7.42"/>
    <col collapsed="false" customWidth="false" hidden="false" outlineLevel="0" max="14" min="14" style="24" width="9.14"/>
    <col collapsed="false" customWidth="true" hidden="false" outlineLevel="0" max="15" min="15" style="24" width="64.71"/>
    <col collapsed="false" customWidth="true" hidden="false" outlineLevel="0" max="16" min="16" style="24" width="7.71"/>
    <col collapsed="false" customWidth="true" hidden="false" outlineLevel="0" max="17" min="17" style="24" width="13.42"/>
    <col collapsed="false" customWidth="true" hidden="false" outlineLevel="0" max="18" min="18" style="24" width="14.71"/>
    <col collapsed="false" customWidth="false" hidden="false" outlineLevel="0" max="16384" min="19" style="24" width="9.14"/>
  </cols>
  <sheetData>
    <row r="1" customFormat="false" ht="15.75" hidden="false" customHeight="true" outlineLevel="0" collapsed="false">
      <c r="A1" s="25" t="s">
        <v>99</v>
      </c>
      <c r="B1" s="26" t="s">
        <v>100</v>
      </c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4" t="s">
        <v>101</v>
      </c>
    </row>
    <row r="2" customFormat="false" ht="15" hidden="false" customHeight="false" outlineLevel="0" collapsed="false">
      <c r="A2" s="28" t="n">
        <v>46388</v>
      </c>
      <c r="B2" s="27" t="s">
        <v>102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9" t="n">
        <f aca="false">'Proposed Loan Details'!A4+'Proposed Loan Details'!A10</f>
        <v>15000</v>
      </c>
    </row>
    <row r="3" customFormat="false" ht="78" hidden="false" customHeight="true" outlineLevel="0" collapsed="false">
      <c r="A3" s="30"/>
      <c r="B3" s="31" t="s">
        <v>103</v>
      </c>
      <c r="C3" s="31" t="s">
        <v>104</v>
      </c>
      <c r="D3" s="31" t="s">
        <v>105</v>
      </c>
      <c r="E3" s="31" t="s">
        <v>106</v>
      </c>
      <c r="F3" s="31" t="s">
        <v>107</v>
      </c>
      <c r="G3" s="31" t="s">
        <v>108</v>
      </c>
      <c r="H3" s="31" t="s">
        <v>109</v>
      </c>
      <c r="I3" s="31" t="s">
        <v>110</v>
      </c>
      <c r="J3" s="31" t="s">
        <v>111</v>
      </c>
      <c r="K3" s="31" t="s">
        <v>112</v>
      </c>
      <c r="L3" s="31" t="s">
        <v>113</v>
      </c>
      <c r="M3" s="31" t="s">
        <v>114</v>
      </c>
      <c r="N3" s="32" t="s">
        <v>115</v>
      </c>
      <c r="O3" s="33"/>
      <c r="P3" s="34" t="s">
        <v>116</v>
      </c>
      <c r="Q3" s="33"/>
    </row>
    <row r="4" customFormat="false" ht="15.75" hidden="false" customHeight="true" outlineLevel="0" collapsed="false">
      <c r="A4" s="35" t="s">
        <v>117</v>
      </c>
      <c r="B4" s="36" t="n">
        <f aca="false">A2</f>
        <v>46388</v>
      </c>
      <c r="C4" s="37" t="n">
        <f aca="false">DATE(YEAR(B4),MONTH(B4)+1,1)</f>
        <v>46419</v>
      </c>
      <c r="D4" s="37" t="n">
        <f aca="false">DATE(YEAR(C4),MONTH(C4)+1,1)</f>
        <v>46447</v>
      </c>
      <c r="E4" s="37" t="n">
        <f aca="false">DATE(YEAR(D4),MONTH(D4)+1,1)</f>
        <v>46478</v>
      </c>
      <c r="F4" s="37" t="n">
        <f aca="false">DATE(YEAR(E4),MONTH(E4)+1,1)</f>
        <v>46508</v>
      </c>
      <c r="G4" s="37" t="n">
        <f aca="false">DATE(YEAR(F4),MONTH(F4)+1,1)</f>
        <v>46539</v>
      </c>
      <c r="H4" s="37" t="n">
        <f aca="false">DATE(YEAR(G4),MONTH(G4)+1,1)</f>
        <v>46569</v>
      </c>
      <c r="I4" s="37" t="n">
        <f aca="false">DATE(YEAR(H4),MONTH(H4)+1,1)</f>
        <v>46600</v>
      </c>
      <c r="J4" s="37" t="n">
        <f aca="false">DATE(YEAR(I4),MONTH(I4)+1,1)</f>
        <v>46631</v>
      </c>
      <c r="K4" s="37" t="n">
        <f aca="false">DATE(YEAR(J4),MONTH(J4)+1,1)</f>
        <v>46661</v>
      </c>
      <c r="L4" s="37" t="n">
        <f aca="false">DATE(YEAR(K4),MONTH(K4)+1,1)</f>
        <v>46692</v>
      </c>
      <c r="M4" s="37" t="n">
        <f aca="false">DATE(YEAR(L4),MONTH(L4)+1,1)</f>
        <v>46722</v>
      </c>
      <c r="N4" s="38" t="n">
        <f aca="false">DATE(YEAR(M4),MONTH(M4)+1,1)</f>
        <v>46753</v>
      </c>
      <c r="O4" s="39" t="s">
        <v>118</v>
      </c>
    </row>
    <row r="5" customFormat="false" ht="15.75" hidden="false" customHeight="true" outlineLevel="0" collapsed="false">
      <c r="A5" s="40" t="s">
        <v>51</v>
      </c>
      <c r="B5" s="41" t="n">
        <f aca="false">Assumptions!B32</f>
        <v>0</v>
      </c>
      <c r="C5" s="41" t="n">
        <f aca="false">Assumptions!C32</f>
        <v>2920</v>
      </c>
      <c r="D5" s="41" t="n">
        <f aca="false">Assumptions!D32</f>
        <v>2920</v>
      </c>
      <c r="E5" s="41" t="n">
        <f aca="false">Assumptions!E32</f>
        <v>2920</v>
      </c>
      <c r="F5" s="41" t="n">
        <f aca="false">Assumptions!F32</f>
        <v>2920</v>
      </c>
      <c r="G5" s="41" t="n">
        <f aca="false">Assumptions!G32</f>
        <v>0</v>
      </c>
      <c r="H5" s="41" t="n">
        <f aca="false">Assumptions!H32</f>
        <v>3285</v>
      </c>
      <c r="I5" s="41" t="n">
        <f aca="false">Assumptions!I32</f>
        <v>3285</v>
      </c>
      <c r="J5" s="41" t="n">
        <f aca="false">Assumptions!J32</f>
        <v>5475</v>
      </c>
      <c r="K5" s="41" t="n">
        <f aca="false">Assumptions!K32</f>
        <v>5475</v>
      </c>
      <c r="L5" s="41" t="n">
        <f aca="false">Assumptions!L32</f>
        <v>5475</v>
      </c>
      <c r="M5" s="41" t="n">
        <f aca="false">Assumptions!M32</f>
        <v>2190</v>
      </c>
      <c r="N5" s="42" t="n">
        <f aca="false">SUM(B5:M5)</f>
        <v>36865</v>
      </c>
      <c r="O5" s="43" t="s">
        <v>119</v>
      </c>
    </row>
    <row r="6" customFormat="false" ht="15.75" hidden="false" customHeight="true" outlineLevel="0" collapsed="false">
      <c r="A6" s="40" t="s">
        <v>42</v>
      </c>
      <c r="B6" s="41" t="n">
        <f aca="false">Assumptions!B33</f>
        <v>0</v>
      </c>
      <c r="C6" s="41" t="n">
        <f aca="false">Assumptions!C33</f>
        <v>0</v>
      </c>
      <c r="D6" s="41" t="n">
        <f aca="false">Assumptions!D33</f>
        <v>0</v>
      </c>
      <c r="E6" s="41" t="n">
        <f aca="false">Assumptions!E33</f>
        <v>0</v>
      </c>
      <c r="F6" s="41" t="n">
        <f aca="false">Assumptions!F33</f>
        <v>0</v>
      </c>
      <c r="G6" s="41" t="n">
        <f aca="false">Assumptions!G33</f>
        <v>2500</v>
      </c>
      <c r="H6" s="41" t="n">
        <f aca="false">Assumptions!H33</f>
        <v>2500</v>
      </c>
      <c r="I6" s="41" t="n">
        <f aca="false">Assumptions!I33</f>
        <v>2500</v>
      </c>
      <c r="J6" s="41" t="n">
        <f aca="false">Assumptions!J33</f>
        <v>2500</v>
      </c>
      <c r="K6" s="41" t="n">
        <f aca="false">Assumptions!K33</f>
        <v>2500</v>
      </c>
      <c r="L6" s="41" t="n">
        <f aca="false">Assumptions!L33</f>
        <v>5000</v>
      </c>
      <c r="M6" s="41" t="n">
        <f aca="false">Assumptions!M33</f>
        <v>5000</v>
      </c>
      <c r="N6" s="42" t="n">
        <f aca="false">SUM(B6:M6)</f>
        <v>22500</v>
      </c>
      <c r="O6" s="43" t="s">
        <v>120</v>
      </c>
    </row>
    <row r="7" customFormat="false" ht="15.75" hidden="false" customHeight="true" outlineLevel="0" collapsed="false">
      <c r="A7" s="44" t="s">
        <v>52</v>
      </c>
      <c r="B7" s="45" t="n">
        <f aca="false">Assumptions!B34</f>
        <v>0</v>
      </c>
      <c r="C7" s="45" t="n">
        <f aca="false">Assumptions!C34</f>
        <v>0</v>
      </c>
      <c r="D7" s="41" t="n">
        <f aca="false">Assumptions!D34</f>
        <v>0</v>
      </c>
      <c r="E7" s="45" t="n">
        <f aca="false">Assumptions!E34</f>
        <v>0</v>
      </c>
      <c r="F7" s="45" t="n">
        <f aca="false">Assumptions!F34</f>
        <v>0</v>
      </c>
      <c r="G7" s="45" t="n">
        <f aca="false">Assumptions!G34</f>
        <v>0</v>
      </c>
      <c r="H7" s="45" t="n">
        <f aca="false">Assumptions!H34</f>
        <v>5000</v>
      </c>
      <c r="I7" s="45" t="n">
        <f aca="false">Assumptions!I34</f>
        <v>0</v>
      </c>
      <c r="J7" s="45" t="n">
        <f aca="false">Assumptions!J34</f>
        <v>5000</v>
      </c>
      <c r="K7" s="45" t="n">
        <f aca="false">Assumptions!K34</f>
        <v>0</v>
      </c>
      <c r="L7" s="45" t="n">
        <f aca="false">Assumptions!L34</f>
        <v>0</v>
      </c>
      <c r="M7" s="45" t="n">
        <f aca="false">Assumptions!M34</f>
        <v>0</v>
      </c>
      <c r="N7" s="42" t="n">
        <f aca="false">SUM(B7:M7)</f>
        <v>10000</v>
      </c>
      <c r="O7" s="43" t="s">
        <v>121</v>
      </c>
    </row>
    <row r="8" customFormat="false" ht="0.75" hidden="false" customHeight="true" outlineLevel="0" collapsed="false">
      <c r="A8" s="46" t="s">
        <v>53</v>
      </c>
      <c r="B8" s="47" t="n">
        <f aca="false">Assumptions!B35</f>
        <v>0</v>
      </c>
      <c r="C8" s="47" t="n">
        <f aca="false">Assumptions!C35</f>
        <v>0</v>
      </c>
      <c r="D8" s="48" t="n">
        <f aca="false">Assumptions!D35</f>
        <v>0</v>
      </c>
      <c r="E8" s="47" t="n">
        <f aca="false">Assumptions!E35</f>
        <v>0</v>
      </c>
      <c r="F8" s="47" t="n">
        <f aca="false">Assumptions!F35</f>
        <v>0</v>
      </c>
      <c r="G8" s="47" t="n">
        <f aca="false">Assumptions!G35</f>
        <v>0</v>
      </c>
      <c r="H8" s="47" t="n">
        <f aca="false">Assumptions!H35</f>
        <v>0</v>
      </c>
      <c r="I8" s="47" t="n">
        <f aca="false">Assumptions!I35</f>
        <v>0</v>
      </c>
      <c r="J8" s="47" t="n">
        <f aca="false">Assumptions!J35</f>
        <v>0</v>
      </c>
      <c r="K8" s="47" t="n">
        <f aca="false">Assumptions!K35</f>
        <v>0</v>
      </c>
      <c r="L8" s="47" t="n">
        <f aca="false">Assumptions!L35</f>
        <v>0</v>
      </c>
      <c r="M8" s="47" t="n">
        <f aca="false">Assumptions!M35</f>
        <v>0</v>
      </c>
      <c r="N8" s="42" t="n">
        <f aca="false">SUM(B8:M8)</f>
        <v>0</v>
      </c>
      <c r="O8" s="43" t="s">
        <v>122</v>
      </c>
    </row>
    <row r="9" customFormat="false" ht="15.75" hidden="false" customHeight="true" outlineLevel="0" collapsed="false">
      <c r="A9" s="49" t="s">
        <v>123</v>
      </c>
      <c r="B9" s="50" t="n">
        <f aca="false">SUM(B5:B8)</f>
        <v>0</v>
      </c>
      <c r="C9" s="50" t="n">
        <f aca="false">SUM(C5:C8)</f>
        <v>2920</v>
      </c>
      <c r="D9" s="50" t="n">
        <f aca="false">SUM(D5:D8)</f>
        <v>2920</v>
      </c>
      <c r="E9" s="50" t="n">
        <f aca="false">SUM(E5:E8)</f>
        <v>2920</v>
      </c>
      <c r="F9" s="50" t="n">
        <f aca="false">SUM(F5:F8)</f>
        <v>2920</v>
      </c>
      <c r="G9" s="50" t="n">
        <f aca="false">SUM(G5:G8)</f>
        <v>2500</v>
      </c>
      <c r="H9" s="50" t="n">
        <f aca="false">SUM(H5:H8)</f>
        <v>10785</v>
      </c>
      <c r="I9" s="50" t="n">
        <f aca="false">SUM(I5:I8)</f>
        <v>5785</v>
      </c>
      <c r="J9" s="50" t="n">
        <f aca="false">SUM(J5:J8)</f>
        <v>12975</v>
      </c>
      <c r="K9" s="50" t="n">
        <f aca="false">SUM(K5:K8)</f>
        <v>7975</v>
      </c>
      <c r="L9" s="50" t="n">
        <f aca="false">SUM(L5:L8)</f>
        <v>10475</v>
      </c>
      <c r="M9" s="50" t="n">
        <f aca="false">SUM(M5:M8)</f>
        <v>7190</v>
      </c>
      <c r="N9" s="42" t="n">
        <f aca="false">SUM(B9:M9)</f>
        <v>69365</v>
      </c>
      <c r="O9" s="21"/>
    </row>
    <row r="10" customFormat="false" ht="15.75" hidden="false" customHeight="true" outlineLevel="0" collapsed="false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  <c r="O10" s="54"/>
    </row>
    <row r="11" customFormat="false" ht="15.75" hidden="false" customHeight="true" outlineLevel="0" collapsed="false">
      <c r="A11" s="35" t="s">
        <v>124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customFormat="false" ht="15.75" hidden="false" customHeight="true" outlineLevel="0" collapsed="false">
      <c r="A12" s="40" t="s">
        <v>125</v>
      </c>
      <c r="B12" s="41" t="n">
        <f aca="false">Assumptions!B37</f>
        <v>0</v>
      </c>
      <c r="C12" s="41" t="n">
        <f aca="false">Assumptions!C37</f>
        <v>1600</v>
      </c>
      <c r="D12" s="41" t="n">
        <f aca="false">Assumptions!D37</f>
        <v>1600</v>
      </c>
      <c r="E12" s="41" t="n">
        <f aca="false">Assumptions!E37</f>
        <v>1600</v>
      </c>
      <c r="F12" s="41" t="n">
        <f aca="false">Assumptions!F37</f>
        <v>1600</v>
      </c>
      <c r="G12" s="41" t="n">
        <f aca="false">Assumptions!G37</f>
        <v>0</v>
      </c>
      <c r="H12" s="41" t="n">
        <f aca="false">Assumptions!H37</f>
        <v>1800</v>
      </c>
      <c r="I12" s="41" t="n">
        <f aca="false">Assumptions!I37</f>
        <v>1800</v>
      </c>
      <c r="J12" s="41" t="n">
        <f aca="false">Assumptions!J37</f>
        <v>3000</v>
      </c>
      <c r="K12" s="41" t="n">
        <f aca="false">Assumptions!K37</f>
        <v>3000</v>
      </c>
      <c r="L12" s="41" t="n">
        <f aca="false">Assumptions!L37</f>
        <v>3000</v>
      </c>
      <c r="M12" s="41" t="n">
        <f aca="false">Assumptions!M37</f>
        <v>1200</v>
      </c>
      <c r="N12" s="42" t="n">
        <f aca="false">SUM(B12:M12)</f>
        <v>20200</v>
      </c>
      <c r="O12" s="43" t="s">
        <v>126</v>
      </c>
      <c r="P12" s="57" t="n">
        <f aca="false">IFERROR(N12/N5,"")</f>
        <v>0.547945205479452</v>
      </c>
    </row>
    <row r="13" customFormat="false" ht="15.75" hidden="false" customHeight="true" outlineLevel="0" collapsed="false">
      <c r="A13" s="40" t="s">
        <v>127</v>
      </c>
      <c r="B13" s="41" t="n">
        <f aca="false">Assumptions!B38</f>
        <v>0</v>
      </c>
      <c r="C13" s="41" t="n">
        <f aca="false">Assumptions!C38</f>
        <v>0</v>
      </c>
      <c r="D13" s="41" t="n">
        <f aca="false">Assumptions!D38</f>
        <v>0</v>
      </c>
      <c r="E13" s="41" t="n">
        <f aca="false">Assumptions!E38</f>
        <v>0</v>
      </c>
      <c r="F13" s="41" t="n">
        <f aca="false">Assumptions!F38</f>
        <v>0</v>
      </c>
      <c r="G13" s="41" t="n">
        <f aca="false">Assumptions!G38</f>
        <v>1280</v>
      </c>
      <c r="H13" s="41" t="n">
        <f aca="false">Assumptions!H38</f>
        <v>1280</v>
      </c>
      <c r="I13" s="41" t="n">
        <f aca="false">Assumptions!I38</f>
        <v>1280</v>
      </c>
      <c r="J13" s="41" t="n">
        <f aca="false">Assumptions!J38</f>
        <v>1280</v>
      </c>
      <c r="K13" s="41" t="n">
        <f aca="false">Assumptions!K38</f>
        <v>1280</v>
      </c>
      <c r="L13" s="41" t="n">
        <f aca="false">Assumptions!L38</f>
        <v>2560</v>
      </c>
      <c r="M13" s="41" t="n">
        <f aca="false">Assumptions!M38</f>
        <v>2560</v>
      </c>
      <c r="N13" s="42" t="n">
        <f aca="false">SUM(B13:M13)</f>
        <v>11520</v>
      </c>
      <c r="O13" s="43" t="s">
        <v>128</v>
      </c>
      <c r="P13" s="57" t="n">
        <f aca="false">IFERROR(N13/N6,"")</f>
        <v>0.512</v>
      </c>
    </row>
    <row r="14" customFormat="false" ht="15.75" hidden="false" customHeight="true" outlineLevel="0" collapsed="false">
      <c r="A14" s="44" t="s">
        <v>129</v>
      </c>
      <c r="B14" s="45" t="n">
        <f aca="false">Assumptions!B39</f>
        <v>0</v>
      </c>
      <c r="C14" s="45" t="n">
        <f aca="false">Assumptions!C39</f>
        <v>0</v>
      </c>
      <c r="D14" s="45" t="n">
        <f aca="false">Assumptions!D39</f>
        <v>0</v>
      </c>
      <c r="E14" s="45" t="n">
        <f aca="false">Assumptions!E39</f>
        <v>0</v>
      </c>
      <c r="F14" s="45" t="n">
        <f aca="false">Assumptions!F39</f>
        <v>0</v>
      </c>
      <c r="G14" s="45" t="n">
        <f aca="false">Assumptions!G39</f>
        <v>0</v>
      </c>
      <c r="H14" s="45" t="n">
        <f aca="false">Assumptions!H39</f>
        <v>500</v>
      </c>
      <c r="I14" s="45" t="n">
        <f aca="false">Assumptions!I39</f>
        <v>0</v>
      </c>
      <c r="J14" s="45" t="n">
        <f aca="false">Assumptions!J39</f>
        <v>500</v>
      </c>
      <c r="K14" s="45" t="n">
        <f aca="false">Assumptions!K39</f>
        <v>0</v>
      </c>
      <c r="L14" s="45" t="n">
        <f aca="false">Assumptions!L39</f>
        <v>0</v>
      </c>
      <c r="M14" s="45" t="n">
        <f aca="false">Assumptions!M39</f>
        <v>0</v>
      </c>
      <c r="N14" s="42" t="n">
        <f aca="false">SUM(B14:M14)</f>
        <v>1000</v>
      </c>
      <c r="O14" s="43" t="s">
        <v>130</v>
      </c>
      <c r="P14" s="57" t="n">
        <f aca="false">IFERROR(N14/N7,"")</f>
        <v>0.1</v>
      </c>
    </row>
    <row r="15" customFormat="false" ht="0.75" hidden="false" customHeight="true" outlineLevel="0" collapsed="false">
      <c r="A15" s="46" t="s">
        <v>131</v>
      </c>
      <c r="B15" s="47" t="n">
        <f aca="false">Assumptions!B40</f>
        <v>0</v>
      </c>
      <c r="C15" s="47" t="n">
        <f aca="false">Assumptions!C40</f>
        <v>0</v>
      </c>
      <c r="D15" s="47" t="n">
        <f aca="false">Assumptions!D40</f>
        <v>0</v>
      </c>
      <c r="E15" s="47" t="n">
        <f aca="false">Assumptions!E40</f>
        <v>0</v>
      </c>
      <c r="F15" s="47" t="n">
        <f aca="false">Assumptions!F40</f>
        <v>0</v>
      </c>
      <c r="G15" s="47" t="n">
        <f aca="false">Assumptions!G40</f>
        <v>0</v>
      </c>
      <c r="H15" s="47" t="n">
        <f aca="false">Assumptions!H40</f>
        <v>0</v>
      </c>
      <c r="I15" s="47" t="n">
        <f aca="false">Assumptions!I40</f>
        <v>0</v>
      </c>
      <c r="J15" s="47" t="n">
        <f aca="false">Assumptions!J40</f>
        <v>0</v>
      </c>
      <c r="K15" s="47" t="n">
        <f aca="false">Assumptions!K40</f>
        <v>0</v>
      </c>
      <c r="L15" s="47" t="n">
        <f aca="false">Assumptions!L40</f>
        <v>0</v>
      </c>
      <c r="M15" s="47" t="n">
        <f aca="false">Assumptions!M40</f>
        <v>0</v>
      </c>
      <c r="N15" s="42" t="n">
        <f aca="false">SUM(B15:M15)</f>
        <v>0</v>
      </c>
      <c r="O15" s="43" t="s">
        <v>132</v>
      </c>
      <c r="P15" s="57" t="str">
        <f aca="false">IFERROR(N15/N8,"")</f>
        <v/>
      </c>
    </row>
    <row r="16" customFormat="false" ht="15.75" hidden="false" customHeight="true" outlineLevel="0" collapsed="false">
      <c r="A16" s="58" t="s">
        <v>133</v>
      </c>
      <c r="B16" s="59" t="n">
        <f aca="false">SUM(B12:B15)</f>
        <v>0</v>
      </c>
      <c r="C16" s="59" t="n">
        <f aca="false">SUM(C12:C15)</f>
        <v>1600</v>
      </c>
      <c r="D16" s="59" t="n">
        <f aca="false">SUM(D12:D15)</f>
        <v>1600</v>
      </c>
      <c r="E16" s="59" t="n">
        <f aca="false">SUM(E12:E15)</f>
        <v>1600</v>
      </c>
      <c r="F16" s="59" t="n">
        <f aca="false">SUM(F12:F15)</f>
        <v>1600</v>
      </c>
      <c r="G16" s="59" t="n">
        <f aca="false">SUM(G12:G15)</f>
        <v>1280</v>
      </c>
      <c r="H16" s="59" t="n">
        <f aca="false">SUM(H12:H15)</f>
        <v>3580</v>
      </c>
      <c r="I16" s="59" t="n">
        <f aca="false">SUM(I12:I15)</f>
        <v>3080</v>
      </c>
      <c r="J16" s="59" t="n">
        <f aca="false">SUM(J12:J15)</f>
        <v>4780</v>
      </c>
      <c r="K16" s="59" t="n">
        <f aca="false">SUM(K12:K15)</f>
        <v>4280</v>
      </c>
      <c r="L16" s="59" t="n">
        <f aca="false">SUM(L12:L15)</f>
        <v>5560</v>
      </c>
      <c r="M16" s="59" t="n">
        <f aca="false">SUM(M12:M15)</f>
        <v>3760</v>
      </c>
      <c r="N16" s="60" t="n">
        <f aca="false">SUM(B16:M16)</f>
        <v>32720</v>
      </c>
      <c r="O16" s="56"/>
      <c r="P16" s="61" t="n">
        <f aca="false">IFERROR(N16/N9,"")</f>
        <v>0.471707633532761</v>
      </c>
    </row>
    <row r="17" customFormat="false" ht="15.75" hidden="false" customHeight="true" outlineLevel="0" collapsed="false">
      <c r="A17" s="51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</row>
    <row r="18" customFormat="false" ht="15.75" hidden="false" customHeight="true" outlineLevel="0" collapsed="false">
      <c r="A18" s="62" t="s">
        <v>134</v>
      </c>
      <c r="B18" s="63" t="n">
        <f aca="false">B9-B16</f>
        <v>0</v>
      </c>
      <c r="C18" s="63" t="n">
        <f aca="false">C9-C16</f>
        <v>1320</v>
      </c>
      <c r="D18" s="63" t="n">
        <f aca="false">D9-D16</f>
        <v>1320</v>
      </c>
      <c r="E18" s="63" t="n">
        <f aca="false">E9-E16</f>
        <v>1320</v>
      </c>
      <c r="F18" s="63" t="n">
        <f aca="false">F9-F16</f>
        <v>1320</v>
      </c>
      <c r="G18" s="63" t="n">
        <f aca="false">G9-G16</f>
        <v>1220</v>
      </c>
      <c r="H18" s="63" t="n">
        <f aca="false">H9-H16</f>
        <v>7205</v>
      </c>
      <c r="I18" s="63" t="n">
        <f aca="false">I9-I16</f>
        <v>2705</v>
      </c>
      <c r="J18" s="63" t="n">
        <f aca="false">J9-J16</f>
        <v>8195</v>
      </c>
      <c r="K18" s="63" t="n">
        <f aca="false">K9-K16</f>
        <v>3695</v>
      </c>
      <c r="L18" s="63" t="n">
        <f aca="false">L9-L16</f>
        <v>4915</v>
      </c>
      <c r="M18" s="63" t="n">
        <f aca="false">M9-M16</f>
        <v>3430</v>
      </c>
      <c r="N18" s="63" t="n">
        <f aca="false">N9-N16</f>
        <v>36645</v>
      </c>
      <c r="O18" s="56"/>
      <c r="P18" s="61" t="n">
        <f aca="false">N18/N9</f>
        <v>0.528292366467239</v>
      </c>
    </row>
    <row r="19" customFormat="false" ht="15.75" hidden="false" customHeight="true" outlineLevel="0" collapsed="false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54"/>
    </row>
    <row r="20" customFormat="false" ht="15.75" hidden="false" customHeight="true" outlineLevel="0" collapsed="false">
      <c r="A20" s="35" t="s">
        <v>135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customFormat="false" ht="15.75" hidden="false" customHeight="true" outlineLevel="0" collapsed="false">
      <c r="A21" s="40" t="s">
        <v>136</v>
      </c>
      <c r="B21" s="64" t="n">
        <v>600</v>
      </c>
      <c r="C21" s="64" t="n">
        <v>800</v>
      </c>
      <c r="D21" s="64" t="n">
        <v>800</v>
      </c>
      <c r="E21" s="64" t="n">
        <v>800</v>
      </c>
      <c r="F21" s="64" t="n">
        <v>800</v>
      </c>
      <c r="G21" s="64" t="n">
        <v>400</v>
      </c>
      <c r="H21" s="64" t="n">
        <v>800</v>
      </c>
      <c r="I21" s="64" t="n">
        <v>800</v>
      </c>
      <c r="J21" s="64" t="n">
        <v>1000</v>
      </c>
      <c r="K21" s="64" t="n">
        <v>800</v>
      </c>
      <c r="L21" s="64" t="n">
        <v>800</v>
      </c>
      <c r="M21" s="64" t="n">
        <v>600</v>
      </c>
      <c r="N21" s="42" t="n">
        <f aca="false">SUM(B21:M21)</f>
        <v>9000</v>
      </c>
      <c r="O21" s="65" t="s">
        <v>137</v>
      </c>
      <c r="P21" s="61"/>
    </row>
    <row r="22" customFormat="false" ht="15.75" hidden="false" customHeight="true" outlineLevel="0" collapsed="false">
      <c r="A22" s="44" t="s">
        <v>138</v>
      </c>
      <c r="B22" s="64" t="n">
        <v>20</v>
      </c>
      <c r="C22" s="64" t="n">
        <v>20</v>
      </c>
      <c r="D22" s="64" t="n">
        <v>20</v>
      </c>
      <c r="E22" s="64" t="n">
        <v>20</v>
      </c>
      <c r="F22" s="64" t="n">
        <v>20</v>
      </c>
      <c r="G22" s="64" t="n">
        <v>20</v>
      </c>
      <c r="H22" s="64" t="n">
        <v>20</v>
      </c>
      <c r="I22" s="64" t="n">
        <v>20</v>
      </c>
      <c r="J22" s="64" t="n">
        <v>20</v>
      </c>
      <c r="K22" s="64" t="n">
        <v>20</v>
      </c>
      <c r="L22" s="64" t="n">
        <v>20</v>
      </c>
      <c r="M22" s="64" t="n">
        <v>20</v>
      </c>
      <c r="N22" s="42" t="n">
        <f aca="false">SUM(B22:M22)</f>
        <v>240</v>
      </c>
      <c r="O22" s="65" t="s">
        <v>139</v>
      </c>
      <c r="P22" s="61"/>
    </row>
    <row r="23" customFormat="false" ht="15.75" hidden="false" customHeight="true" outlineLevel="0" collapsed="false">
      <c r="A23" s="44" t="s">
        <v>140</v>
      </c>
      <c r="B23" s="64" t="n">
        <v>100</v>
      </c>
      <c r="C23" s="64" t="n">
        <v>100</v>
      </c>
      <c r="D23" s="64" t="n">
        <v>100</v>
      </c>
      <c r="E23" s="64" t="n">
        <v>100</v>
      </c>
      <c r="F23" s="64" t="n">
        <v>100</v>
      </c>
      <c r="G23" s="64" t="n">
        <v>100</v>
      </c>
      <c r="H23" s="64" t="n">
        <v>100</v>
      </c>
      <c r="I23" s="64" t="n">
        <v>100</v>
      </c>
      <c r="J23" s="64" t="n">
        <v>150</v>
      </c>
      <c r="K23" s="64" t="n">
        <v>150</v>
      </c>
      <c r="L23" s="64" t="n">
        <v>150</v>
      </c>
      <c r="M23" s="64" t="n">
        <v>150</v>
      </c>
      <c r="N23" s="42" t="n">
        <f aca="false">SUM(B23:M23)</f>
        <v>1400</v>
      </c>
      <c r="O23" s="65" t="s">
        <v>141</v>
      </c>
      <c r="P23" s="61"/>
    </row>
    <row r="24" customFormat="false" ht="15.75" hidden="false" customHeight="true" outlineLevel="0" collapsed="false">
      <c r="A24" s="44" t="s">
        <v>142</v>
      </c>
      <c r="B24" s="64" t="n">
        <v>0</v>
      </c>
      <c r="C24" s="64" t="n">
        <v>0</v>
      </c>
      <c r="D24" s="64" t="n">
        <v>0</v>
      </c>
      <c r="E24" s="64" t="n">
        <v>0</v>
      </c>
      <c r="F24" s="64" t="n">
        <v>0</v>
      </c>
      <c r="G24" s="64" t="n">
        <v>0</v>
      </c>
      <c r="H24" s="64" t="n">
        <v>0</v>
      </c>
      <c r="I24" s="64" t="n">
        <v>0</v>
      </c>
      <c r="J24" s="64" t="n">
        <v>0</v>
      </c>
      <c r="K24" s="64" t="n">
        <v>0</v>
      </c>
      <c r="L24" s="64" t="n">
        <v>0</v>
      </c>
      <c r="M24" s="64" t="n">
        <v>0</v>
      </c>
      <c r="N24" s="42" t="n">
        <f aca="false">SUM(B24:M24)</f>
        <v>0</v>
      </c>
      <c r="O24" s="65" t="s">
        <v>143</v>
      </c>
      <c r="P24" s="61"/>
    </row>
    <row r="25" customFormat="false" ht="15.75" hidden="false" customHeight="true" outlineLevel="0" collapsed="false">
      <c r="A25" s="44" t="s">
        <v>144</v>
      </c>
      <c r="B25" s="66" t="n">
        <v>75</v>
      </c>
      <c r="C25" s="66" t="n">
        <v>75</v>
      </c>
      <c r="D25" s="66" t="n">
        <v>75</v>
      </c>
      <c r="E25" s="66" t="n">
        <v>75</v>
      </c>
      <c r="F25" s="66" t="n">
        <v>75</v>
      </c>
      <c r="G25" s="66" t="n">
        <v>75</v>
      </c>
      <c r="H25" s="66" t="n">
        <v>75</v>
      </c>
      <c r="I25" s="66" t="n">
        <v>75</v>
      </c>
      <c r="J25" s="66" t="n">
        <v>75</v>
      </c>
      <c r="K25" s="66" t="n">
        <v>75</v>
      </c>
      <c r="L25" s="66" t="n">
        <v>75</v>
      </c>
      <c r="M25" s="66" t="n">
        <v>75</v>
      </c>
      <c r="N25" s="42" t="n">
        <f aca="false">SUM(B25:M25)</f>
        <v>900</v>
      </c>
      <c r="O25" s="65" t="s">
        <v>145</v>
      </c>
      <c r="P25" s="61"/>
    </row>
    <row r="26" customFormat="false" ht="15.75" hidden="false" customHeight="true" outlineLevel="0" collapsed="false">
      <c r="A26" s="44" t="s">
        <v>146</v>
      </c>
      <c r="B26" s="45" t="n">
        <f aca="false">B9*Assumptions!$B$17</f>
        <v>0</v>
      </c>
      <c r="C26" s="45" t="n">
        <f aca="false">C9*Assumptions!$B$17</f>
        <v>43.8</v>
      </c>
      <c r="D26" s="45" t="n">
        <f aca="false">D9*Assumptions!$B$17</f>
        <v>43.8</v>
      </c>
      <c r="E26" s="45" t="n">
        <f aca="false">E9*Assumptions!$B$17</f>
        <v>43.8</v>
      </c>
      <c r="F26" s="45" t="n">
        <f aca="false">F9*Assumptions!$B$17</f>
        <v>43.8</v>
      </c>
      <c r="G26" s="45" t="n">
        <f aca="false">G9*Assumptions!$B$17</f>
        <v>37.5</v>
      </c>
      <c r="H26" s="45" t="n">
        <f aca="false">H9*Assumptions!$B$17</f>
        <v>161.775</v>
      </c>
      <c r="I26" s="45" t="n">
        <f aca="false">I9*Assumptions!$B$17</f>
        <v>86.775</v>
      </c>
      <c r="J26" s="45" t="n">
        <f aca="false">J9*Assumptions!$B$17</f>
        <v>194.625</v>
      </c>
      <c r="K26" s="45" t="n">
        <f aca="false">K9*Assumptions!$B$17</f>
        <v>119.625</v>
      </c>
      <c r="L26" s="45" t="n">
        <f aca="false">L9*Assumptions!$B$17</f>
        <v>157.125</v>
      </c>
      <c r="M26" s="45" t="n">
        <f aca="false">M9*Assumptions!$B$17</f>
        <v>107.85</v>
      </c>
      <c r="N26" s="42" t="n">
        <f aca="false">SUM(B26:M26)</f>
        <v>1040.475</v>
      </c>
      <c r="O26" s="65" t="s">
        <v>147</v>
      </c>
      <c r="P26" s="61"/>
    </row>
    <row r="27" customFormat="false" ht="15.75" hidden="false" customHeight="true" outlineLevel="0" collapsed="false">
      <c r="A27" s="44" t="s">
        <v>148</v>
      </c>
      <c r="B27" s="66" t="n">
        <v>100</v>
      </c>
      <c r="C27" s="66" t="n">
        <v>100</v>
      </c>
      <c r="D27" s="66" t="n">
        <v>100</v>
      </c>
      <c r="E27" s="66" t="n">
        <v>100</v>
      </c>
      <c r="F27" s="66" t="n">
        <v>100</v>
      </c>
      <c r="G27" s="66" t="n">
        <v>100</v>
      </c>
      <c r="H27" s="66" t="n">
        <v>100</v>
      </c>
      <c r="I27" s="66" t="n">
        <v>100</v>
      </c>
      <c r="J27" s="66" t="n">
        <v>100</v>
      </c>
      <c r="K27" s="66" t="n">
        <v>100</v>
      </c>
      <c r="L27" s="66" t="n">
        <v>100</v>
      </c>
      <c r="M27" s="66" t="n">
        <v>100</v>
      </c>
      <c r="N27" s="42" t="n">
        <f aca="false">SUM(B27:M27)</f>
        <v>1200</v>
      </c>
      <c r="O27" s="65" t="s">
        <v>149</v>
      </c>
      <c r="P27" s="61"/>
    </row>
    <row r="28" customFormat="false" ht="15.75" hidden="false" customHeight="true" outlineLevel="0" collapsed="false">
      <c r="A28" s="44" t="s">
        <v>150</v>
      </c>
      <c r="B28" s="66" t="n">
        <v>75</v>
      </c>
      <c r="C28" s="66" t="n">
        <v>75</v>
      </c>
      <c r="D28" s="66" t="n">
        <v>75</v>
      </c>
      <c r="E28" s="66" t="n">
        <v>75</v>
      </c>
      <c r="F28" s="66" t="n">
        <v>75</v>
      </c>
      <c r="G28" s="66" t="n">
        <v>75</v>
      </c>
      <c r="H28" s="66" t="n">
        <v>75</v>
      </c>
      <c r="I28" s="66" t="n">
        <v>75</v>
      </c>
      <c r="J28" s="66" t="n">
        <v>75</v>
      </c>
      <c r="K28" s="66" t="n">
        <v>75</v>
      </c>
      <c r="L28" s="66" t="n">
        <v>75</v>
      </c>
      <c r="M28" s="66" t="n">
        <v>75</v>
      </c>
      <c r="N28" s="42" t="n">
        <f aca="false">SUM(B28:M28)</f>
        <v>900</v>
      </c>
      <c r="O28" s="65" t="s">
        <v>151</v>
      </c>
      <c r="P28" s="61"/>
    </row>
    <row r="29" customFormat="false" ht="15.75" hidden="false" customHeight="true" outlineLevel="0" collapsed="false">
      <c r="A29" s="44" t="s">
        <v>152</v>
      </c>
      <c r="B29" s="66" t="n">
        <v>0</v>
      </c>
      <c r="C29" s="66" t="n">
        <v>0</v>
      </c>
      <c r="D29" s="66" t="n">
        <v>0</v>
      </c>
      <c r="E29" s="66" t="n">
        <v>0</v>
      </c>
      <c r="F29" s="66" t="n">
        <v>0</v>
      </c>
      <c r="G29" s="66" t="n">
        <v>0</v>
      </c>
      <c r="H29" s="66" t="n">
        <v>0</v>
      </c>
      <c r="I29" s="66" t="n">
        <v>0</v>
      </c>
      <c r="J29" s="66" t="n">
        <v>0</v>
      </c>
      <c r="K29" s="66" t="n">
        <v>0</v>
      </c>
      <c r="L29" s="66" t="n">
        <v>0</v>
      </c>
      <c r="M29" s="66" t="n">
        <v>0</v>
      </c>
      <c r="N29" s="42" t="n">
        <f aca="false">SUM(B29:M29)</f>
        <v>0</v>
      </c>
      <c r="O29" s="65"/>
      <c r="P29" s="61"/>
    </row>
    <row r="30" customFormat="false" ht="15.75" hidden="false" customHeight="true" outlineLevel="0" collapsed="false">
      <c r="A30" s="44" t="s">
        <v>153</v>
      </c>
      <c r="B30" s="45" t="n">
        <f aca="false">Payroll!I13</f>
        <v>0</v>
      </c>
      <c r="C30" s="45" t="n">
        <f aca="false">Payroll!J13</f>
        <v>0</v>
      </c>
      <c r="D30" s="45" t="n">
        <f aca="false">Payroll!K13</f>
        <v>0</v>
      </c>
      <c r="E30" s="45" t="n">
        <f aca="false">Payroll!L13</f>
        <v>0</v>
      </c>
      <c r="F30" s="45" t="n">
        <f aca="false">Payroll!M13</f>
        <v>0</v>
      </c>
      <c r="G30" s="45" t="n">
        <f aca="false">Payroll!N13</f>
        <v>0</v>
      </c>
      <c r="H30" s="45" t="n">
        <f aca="false">Payroll!O13</f>
        <v>0</v>
      </c>
      <c r="I30" s="45" t="n">
        <f aca="false">Payroll!P13</f>
        <v>0</v>
      </c>
      <c r="J30" s="45" t="n">
        <f aca="false">Payroll!Q13</f>
        <v>800</v>
      </c>
      <c r="K30" s="45" t="n">
        <f aca="false">Payroll!R13</f>
        <v>800</v>
      </c>
      <c r="L30" s="45" t="n">
        <f aca="false">Payroll!S13</f>
        <v>800</v>
      </c>
      <c r="M30" s="45" t="n">
        <f aca="false">Payroll!T13</f>
        <v>800</v>
      </c>
      <c r="N30" s="42" t="n">
        <f aca="false">SUM(B30:M30)</f>
        <v>3200</v>
      </c>
      <c r="O30" s="65" t="s">
        <v>154</v>
      </c>
      <c r="P30" s="61"/>
    </row>
    <row r="31" customFormat="false" ht="15.75" hidden="false" customHeight="true" outlineLevel="0" collapsed="false">
      <c r="A31" s="44" t="s">
        <v>155</v>
      </c>
      <c r="B31" s="66" t="n">
        <v>75</v>
      </c>
      <c r="C31" s="66" t="n">
        <v>75</v>
      </c>
      <c r="D31" s="66" t="n">
        <v>75</v>
      </c>
      <c r="E31" s="66" t="n">
        <v>75</v>
      </c>
      <c r="F31" s="66" t="n">
        <v>75</v>
      </c>
      <c r="G31" s="66" t="n">
        <v>75</v>
      </c>
      <c r="H31" s="66" t="n">
        <v>75</v>
      </c>
      <c r="I31" s="66" t="n">
        <v>75</v>
      </c>
      <c r="J31" s="66" t="n">
        <v>75</v>
      </c>
      <c r="K31" s="66" t="n">
        <v>75</v>
      </c>
      <c r="L31" s="66" t="n">
        <v>75</v>
      </c>
      <c r="M31" s="66" t="n">
        <v>75</v>
      </c>
      <c r="N31" s="42" t="n">
        <f aca="false">SUM(B31:M31)</f>
        <v>900</v>
      </c>
      <c r="O31" s="65" t="s">
        <v>156</v>
      </c>
      <c r="P31" s="61"/>
    </row>
    <row r="32" customFormat="false" ht="15.75" hidden="false" customHeight="true" outlineLevel="0" collapsed="false">
      <c r="A32" s="44" t="s">
        <v>157</v>
      </c>
      <c r="B32" s="66" t="n">
        <v>100</v>
      </c>
      <c r="C32" s="66" t="n">
        <v>100</v>
      </c>
      <c r="D32" s="66" t="n">
        <v>100</v>
      </c>
      <c r="E32" s="66" t="n">
        <v>100</v>
      </c>
      <c r="F32" s="66" t="n">
        <v>100</v>
      </c>
      <c r="G32" s="66" t="n">
        <v>100</v>
      </c>
      <c r="H32" s="66" t="n">
        <v>100</v>
      </c>
      <c r="I32" s="66" t="n">
        <v>100</v>
      </c>
      <c r="J32" s="66" t="n">
        <v>100</v>
      </c>
      <c r="K32" s="66" t="n">
        <v>100</v>
      </c>
      <c r="L32" s="66" t="n">
        <v>100</v>
      </c>
      <c r="M32" s="66" t="n">
        <v>100</v>
      </c>
      <c r="N32" s="42" t="n">
        <f aca="false">SUM(B32:M32)</f>
        <v>1200</v>
      </c>
      <c r="O32" s="65" t="s">
        <v>158</v>
      </c>
      <c r="P32" s="61"/>
    </row>
    <row r="33" customFormat="false" ht="15.75" hidden="false" customHeight="true" outlineLevel="0" collapsed="false">
      <c r="A33" s="44" t="s">
        <v>159</v>
      </c>
      <c r="B33" s="45" t="n">
        <f aca="false">'Proposed Loan Details'!G4</f>
        <v>125</v>
      </c>
      <c r="C33" s="45" t="n">
        <f aca="false">'Proposed Loan Details'!H4</f>
        <v>123.385786077758</v>
      </c>
      <c r="D33" s="45" t="n">
        <f aca="false">'Proposed Loan Details'!I4</f>
        <v>121.758120372831</v>
      </c>
      <c r="E33" s="45" t="n">
        <f aca="false">'Proposed Loan Details'!J4</f>
        <v>120.116890787029</v>
      </c>
      <c r="F33" s="45" t="n">
        <f aca="false">'Proposed Loan Details'!K4</f>
        <v>118.461984288013</v>
      </c>
      <c r="G33" s="45" t="n">
        <f aca="false">'Proposed Loan Details'!L4</f>
        <v>116.793286901504</v>
      </c>
      <c r="H33" s="45" t="n">
        <f aca="false">'Proposed Loan Details'!M4</f>
        <v>115.110683703442</v>
      </c>
      <c r="I33" s="45" t="n">
        <f aca="false">'Proposed Loan Details'!N4</f>
        <v>113.414058812062</v>
      </c>
      <c r="J33" s="45" t="n">
        <f aca="false">'Proposed Loan Details'!O4</f>
        <v>111.70329537992</v>
      </c>
      <c r="K33" s="45" t="n">
        <f aca="false">'Proposed Loan Details'!P4</f>
        <v>109.978275585845</v>
      </c>
      <c r="L33" s="45" t="n">
        <f aca="false">'Proposed Loan Details'!Q4</f>
        <v>108.238880626818</v>
      </c>
      <c r="M33" s="45" t="n">
        <f aca="false">'Proposed Loan Details'!R4</f>
        <v>106.4849907098</v>
      </c>
      <c r="N33" s="42" t="n">
        <f aca="false">SUM(B33:M33)</f>
        <v>1390.44625324502</v>
      </c>
      <c r="O33" s="65" t="s">
        <v>160</v>
      </c>
      <c r="P33" s="61"/>
    </row>
    <row r="34" customFormat="false" ht="15.75" hidden="false" customHeight="true" outlineLevel="0" collapsed="false">
      <c r="A34" s="44" t="s">
        <v>161</v>
      </c>
      <c r="B34" s="45" t="n">
        <f aca="false">'Proposed Loan Details'!G10</f>
        <v>0</v>
      </c>
      <c r="C34" s="45" t="n">
        <f aca="false">'Proposed Loan Details'!H10</f>
        <v>0</v>
      </c>
      <c r="D34" s="45" t="n">
        <f aca="false">'Proposed Loan Details'!I10</f>
        <v>0</v>
      </c>
      <c r="E34" s="45" t="n">
        <f aca="false">'Proposed Loan Details'!J10</f>
        <v>0</v>
      </c>
      <c r="F34" s="45" t="n">
        <f aca="false">'Proposed Loan Details'!K10</f>
        <v>0</v>
      </c>
      <c r="G34" s="45" t="n">
        <f aca="false">'Proposed Loan Details'!L10</f>
        <v>0</v>
      </c>
      <c r="H34" s="45" t="n">
        <f aca="false">'Proposed Loan Details'!M10</f>
        <v>0</v>
      </c>
      <c r="I34" s="45" t="n">
        <f aca="false">'Proposed Loan Details'!N10</f>
        <v>0</v>
      </c>
      <c r="J34" s="45" t="n">
        <f aca="false">'Proposed Loan Details'!O10</f>
        <v>0</v>
      </c>
      <c r="K34" s="45" t="n">
        <f aca="false">'Proposed Loan Details'!P10</f>
        <v>0</v>
      </c>
      <c r="L34" s="45" t="n">
        <f aca="false">'Proposed Loan Details'!Q10</f>
        <v>0</v>
      </c>
      <c r="M34" s="45" t="n">
        <f aca="false">'Proposed Loan Details'!R10</f>
        <v>0</v>
      </c>
      <c r="N34" s="42" t="n">
        <f aca="false">SUM(B34:M34)</f>
        <v>0</v>
      </c>
      <c r="O34" s="65" t="s">
        <v>162</v>
      </c>
      <c r="P34" s="61"/>
    </row>
    <row r="35" customFormat="false" ht="15.75" hidden="false" customHeight="true" outlineLevel="0" collapsed="false">
      <c r="A35" s="44" t="s">
        <v>163</v>
      </c>
      <c r="B35" s="66" t="n">
        <v>120</v>
      </c>
      <c r="C35" s="66" t="n">
        <v>120</v>
      </c>
      <c r="D35" s="66" t="n">
        <v>120</v>
      </c>
      <c r="E35" s="66" t="n">
        <v>120</v>
      </c>
      <c r="F35" s="66" t="n">
        <v>120</v>
      </c>
      <c r="G35" s="66" t="n">
        <v>120</v>
      </c>
      <c r="H35" s="66" t="n">
        <v>120</v>
      </c>
      <c r="I35" s="66" t="n">
        <v>120</v>
      </c>
      <c r="J35" s="66" t="n">
        <v>120</v>
      </c>
      <c r="K35" s="66" t="n">
        <v>120</v>
      </c>
      <c r="L35" s="66" t="n">
        <v>120</v>
      </c>
      <c r="M35" s="66" t="n">
        <v>120</v>
      </c>
      <c r="N35" s="42" t="n">
        <f aca="false">SUM(B35:M35)</f>
        <v>1440</v>
      </c>
      <c r="O35" s="65" t="s">
        <v>164</v>
      </c>
      <c r="P35" s="61"/>
    </row>
    <row r="36" customFormat="false" ht="15.75" hidden="false" customHeight="true" outlineLevel="0" collapsed="false">
      <c r="A36" s="44" t="s">
        <v>165</v>
      </c>
      <c r="B36" s="66" t="n">
        <v>1500</v>
      </c>
      <c r="C36" s="66" t="n">
        <v>0</v>
      </c>
      <c r="D36" s="66" t="n">
        <v>1000</v>
      </c>
      <c r="E36" s="66" t="n">
        <v>100</v>
      </c>
      <c r="F36" s="66" t="n">
        <v>100</v>
      </c>
      <c r="G36" s="66" t="n">
        <v>100</v>
      </c>
      <c r="H36" s="66" t="n">
        <v>100</v>
      </c>
      <c r="I36" s="66" t="n">
        <v>100</v>
      </c>
      <c r="J36" s="66" t="n">
        <v>100</v>
      </c>
      <c r="K36" s="66" t="n">
        <v>100</v>
      </c>
      <c r="L36" s="66" t="n">
        <v>100</v>
      </c>
      <c r="M36" s="66" t="n">
        <v>100</v>
      </c>
      <c r="N36" s="42" t="n">
        <f aca="false">SUM(B36:M36)</f>
        <v>3400</v>
      </c>
      <c r="O36" s="65" t="s">
        <v>166</v>
      </c>
      <c r="P36" s="61"/>
    </row>
    <row r="37" customFormat="false" ht="15.75" hidden="false" customHeight="true" outlineLevel="0" collapsed="false">
      <c r="A37" s="44" t="s">
        <v>167</v>
      </c>
      <c r="B37" s="66" t="n">
        <v>50</v>
      </c>
      <c r="C37" s="66" t="n">
        <v>50</v>
      </c>
      <c r="D37" s="66" t="n">
        <v>50</v>
      </c>
      <c r="E37" s="66" t="n">
        <v>50</v>
      </c>
      <c r="F37" s="66" t="n">
        <v>50</v>
      </c>
      <c r="G37" s="66" t="n">
        <v>50</v>
      </c>
      <c r="H37" s="66" t="n">
        <v>50</v>
      </c>
      <c r="I37" s="66" t="n">
        <v>50</v>
      </c>
      <c r="J37" s="66" t="n">
        <v>50</v>
      </c>
      <c r="K37" s="66" t="n">
        <v>50</v>
      </c>
      <c r="L37" s="66" t="n">
        <v>50</v>
      </c>
      <c r="M37" s="66" t="n">
        <v>50</v>
      </c>
      <c r="N37" s="42" t="n">
        <f aca="false">SUM(B37:M37)</f>
        <v>600</v>
      </c>
      <c r="O37" s="65" t="s">
        <v>168</v>
      </c>
      <c r="P37" s="61"/>
    </row>
    <row r="38" customFormat="false" ht="15.75" hidden="false" customHeight="true" outlineLevel="0" collapsed="false">
      <c r="A38" s="44" t="s">
        <v>169</v>
      </c>
      <c r="B38" s="66" t="n">
        <v>1500</v>
      </c>
      <c r="C38" s="66" t="n">
        <v>1500</v>
      </c>
      <c r="D38" s="66" t="n">
        <v>0</v>
      </c>
      <c r="E38" s="66" t="n">
        <v>0</v>
      </c>
      <c r="F38" s="66" t="n">
        <v>0</v>
      </c>
      <c r="G38" s="66" t="n">
        <v>0</v>
      </c>
      <c r="H38" s="66" t="n">
        <v>0</v>
      </c>
      <c r="I38" s="66" t="n">
        <v>0</v>
      </c>
      <c r="J38" s="66" t="n">
        <v>0</v>
      </c>
      <c r="K38" s="66" t="n">
        <v>0</v>
      </c>
      <c r="L38" s="66" t="n">
        <v>0</v>
      </c>
      <c r="M38" s="66" t="n">
        <v>0</v>
      </c>
      <c r="N38" s="42" t="n">
        <f aca="false">SUM(B38:M38)</f>
        <v>3000</v>
      </c>
      <c r="O38" s="65" t="s">
        <v>170</v>
      </c>
      <c r="P38" s="61"/>
    </row>
    <row r="39" customFormat="false" ht="15.75" hidden="false" customHeight="true" outlineLevel="0" collapsed="false">
      <c r="A39" s="58" t="s">
        <v>171</v>
      </c>
      <c r="B39" s="59" t="n">
        <f aca="false">SUM(B21:B38)</f>
        <v>4440</v>
      </c>
      <c r="C39" s="59" t="n">
        <f aca="false">SUM(C21:C38)</f>
        <v>3182.18578607776</v>
      </c>
      <c r="D39" s="59" t="n">
        <f aca="false">SUM(D21:D38)</f>
        <v>2680.55812037283</v>
      </c>
      <c r="E39" s="59" t="n">
        <f aca="false">SUM(E21:E38)</f>
        <v>1778.91689078703</v>
      </c>
      <c r="F39" s="59" t="n">
        <f aca="false">SUM(F21:F38)</f>
        <v>1777.26198428801</v>
      </c>
      <c r="G39" s="59" t="n">
        <f aca="false">SUM(G21:G38)</f>
        <v>1369.2932869015</v>
      </c>
      <c r="H39" s="59" t="n">
        <f aca="false">SUM(H21:H38)</f>
        <v>1891.88568370344</v>
      </c>
      <c r="I39" s="59" t="n">
        <f aca="false">SUM(I21:I38)</f>
        <v>1815.18905881206</v>
      </c>
      <c r="J39" s="59" t="n">
        <f aca="false">SUM(J21:J38)</f>
        <v>2971.32829537992</v>
      </c>
      <c r="K39" s="59" t="n">
        <f aca="false">SUM(K21:K38)</f>
        <v>2694.60327558584</v>
      </c>
      <c r="L39" s="59" t="n">
        <f aca="false">SUM(L21:L38)</f>
        <v>2730.36388062682</v>
      </c>
      <c r="M39" s="59" t="n">
        <f aca="false">SUM(M21:M38)</f>
        <v>2479.3349907098</v>
      </c>
      <c r="N39" s="67" t="n">
        <f aca="false">SUM(N21:N38)</f>
        <v>29810.921253245</v>
      </c>
      <c r="O39" s="56"/>
      <c r="P39" s="68" t="n">
        <f aca="false">N39/N9</f>
        <v>0.429768921693145</v>
      </c>
    </row>
    <row r="40" customFormat="false" ht="15.75" hidden="false" customHeight="true" outlineLevel="0" collapsed="false">
      <c r="A40" s="69"/>
      <c r="B40" s="53"/>
      <c r="C40" s="53"/>
      <c r="D40" s="53"/>
      <c r="E40" s="53"/>
      <c r="F40" s="53"/>
      <c r="G40" s="53"/>
      <c r="H40" s="53"/>
      <c r="I40" s="53"/>
      <c r="J40" s="52"/>
      <c r="K40" s="53"/>
      <c r="L40" s="52"/>
      <c r="M40" s="53"/>
      <c r="N40" s="53"/>
      <c r="O40" s="54"/>
      <c r="Q40" s="43" t="s">
        <v>172</v>
      </c>
      <c r="R40" s="43"/>
    </row>
    <row r="41" customFormat="false" ht="15.75" hidden="false" customHeight="true" outlineLevel="0" collapsed="false">
      <c r="A41" s="70" t="s">
        <v>173</v>
      </c>
      <c r="B41" s="67" t="n">
        <f aca="false">B18-B39</f>
        <v>-4440</v>
      </c>
      <c r="C41" s="67" t="n">
        <f aca="false">C18-C39</f>
        <v>-1862.18578607776</v>
      </c>
      <c r="D41" s="67" t="n">
        <f aca="false">D18-D39</f>
        <v>-1360.55812037283</v>
      </c>
      <c r="E41" s="67" t="n">
        <f aca="false">E18-E39</f>
        <v>-458.916890787029</v>
      </c>
      <c r="F41" s="67" t="n">
        <f aca="false">F18-F39</f>
        <v>-457.261984288013</v>
      </c>
      <c r="G41" s="67" t="n">
        <f aca="false">G18-G39</f>
        <v>-149.293286901504</v>
      </c>
      <c r="H41" s="67" t="n">
        <f aca="false">H18-H39</f>
        <v>5313.11431629656</v>
      </c>
      <c r="I41" s="67" t="n">
        <f aca="false">I18-I39</f>
        <v>889.810941187938</v>
      </c>
      <c r="J41" s="67" t="n">
        <f aca="false">J18-J39</f>
        <v>5223.67170462008</v>
      </c>
      <c r="K41" s="67" t="n">
        <f aca="false">K18-K39</f>
        <v>1000.39672441416</v>
      </c>
      <c r="L41" s="67" t="n">
        <f aca="false">L18-L39</f>
        <v>2184.63611937318</v>
      </c>
      <c r="M41" s="67" t="n">
        <f aca="false">M18-M39</f>
        <v>950.665009290201</v>
      </c>
      <c r="N41" s="67" t="n">
        <f aca="false">N18-N39</f>
        <v>6834.07874675498</v>
      </c>
      <c r="O41" s="56"/>
      <c r="P41" s="68" t="n">
        <f aca="false">N41/N9</f>
        <v>0.0985234447740933</v>
      </c>
      <c r="Q41" s="21" t="s">
        <v>174</v>
      </c>
      <c r="R41" s="21"/>
    </row>
    <row r="44" customFormat="false" ht="18" hidden="false" customHeight="true" outlineLevel="0" collapsed="false"/>
  </sheetData>
  <mergeCells count="1">
    <mergeCell ref="B1:M1"/>
  </mergeCells>
  <conditionalFormatting sqref="B41:M41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9.71"/>
    <col collapsed="false" customWidth="true" hidden="false" outlineLevel="0" max="4" min="3" style="1" width="10.14"/>
    <col collapsed="false" customWidth="true" hidden="false" outlineLevel="0" max="6" min="6" style="1" width="2.29"/>
    <col collapsed="false" customWidth="true" hidden="false" outlineLevel="0" max="7" min="7" style="1" width="2.42"/>
    <col collapsed="false" customWidth="true" hidden="false" outlineLevel="0" max="8" min="8" style="1" width="19.71"/>
    <col collapsed="false" customWidth="true" hidden="false" outlineLevel="0" max="20" min="9" style="1" width="10.14"/>
    <col collapsed="false" customWidth="true" hidden="false" outlineLevel="0" max="21" min="21" style="1" width="11.14"/>
  </cols>
  <sheetData>
    <row r="1" customFormat="false" ht="15.75" hidden="false" customHeight="true" outlineLevel="0" collapsed="false">
      <c r="A1" s="25" t="s">
        <v>99</v>
      </c>
    </row>
    <row r="2" customFormat="false" ht="21" hidden="false" customHeight="true" outlineLevel="0" collapsed="false">
      <c r="A2" s="71" t="n">
        <f aca="false">'1st Year Projections'!A2</f>
        <v>46388</v>
      </c>
      <c r="B2" s="72" t="s">
        <v>175</v>
      </c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</row>
    <row r="4" customFormat="false" ht="43.5" hidden="false" customHeight="true" outlineLevel="0" collapsed="false">
      <c r="H4" s="73"/>
      <c r="I4" s="74" t="s">
        <v>103</v>
      </c>
      <c r="J4" s="75" t="s">
        <v>104</v>
      </c>
      <c r="K4" s="75" t="s">
        <v>105</v>
      </c>
      <c r="L4" s="75" t="s">
        <v>106</v>
      </c>
      <c r="M4" s="75" t="s">
        <v>107</v>
      </c>
      <c r="N4" s="75" t="s">
        <v>108</v>
      </c>
      <c r="O4" s="75" t="s">
        <v>109</v>
      </c>
      <c r="P4" s="75" t="s">
        <v>110</v>
      </c>
      <c r="Q4" s="75" t="s">
        <v>111</v>
      </c>
      <c r="R4" s="75" t="s">
        <v>112</v>
      </c>
      <c r="S4" s="75" t="s">
        <v>113</v>
      </c>
      <c r="T4" s="75" t="s">
        <v>114</v>
      </c>
      <c r="U4" s="76" t="s">
        <v>115</v>
      </c>
    </row>
    <row r="5" customFormat="false" ht="15" hidden="false" customHeight="false" outlineLevel="0" collapsed="false">
      <c r="B5" s="21"/>
      <c r="C5" s="77" t="s">
        <v>176</v>
      </c>
      <c r="D5" s="77" t="s">
        <v>177</v>
      </c>
      <c r="E5" s="77" t="s">
        <v>178</v>
      </c>
      <c r="H5" s="35" t="s">
        <v>175</v>
      </c>
      <c r="I5" s="37" t="n">
        <f aca="false">A2</f>
        <v>46388</v>
      </c>
      <c r="J5" s="37" t="n">
        <f aca="false">DATE(YEAR(I5),MONTH(I5)+1,1)</f>
        <v>46419</v>
      </c>
      <c r="K5" s="37" t="n">
        <f aca="false">DATE(YEAR(J5),MONTH(J5)+1,1)</f>
        <v>46447</v>
      </c>
      <c r="L5" s="37" t="n">
        <f aca="false">DATE(YEAR(K5),MONTH(K5)+1,1)</f>
        <v>46478</v>
      </c>
      <c r="M5" s="37" t="n">
        <f aca="false">DATE(YEAR(L5),MONTH(L5)+1,1)</f>
        <v>46508</v>
      </c>
      <c r="N5" s="37" t="n">
        <f aca="false">DATE(YEAR(M5),MONTH(M5)+1,1)</f>
        <v>46539</v>
      </c>
      <c r="O5" s="37" t="n">
        <f aca="false">DATE(YEAR(N5),MONTH(N5)+1,1)</f>
        <v>46569</v>
      </c>
      <c r="P5" s="37" t="n">
        <f aca="false">DATE(YEAR(O5),MONTH(O5)+1,1)</f>
        <v>46600</v>
      </c>
      <c r="Q5" s="37" t="n">
        <f aca="false">DATE(YEAR(P5),MONTH(P5)+1,1)</f>
        <v>46631</v>
      </c>
      <c r="R5" s="37" t="n">
        <f aca="false">DATE(YEAR(Q5),MONTH(Q5)+1,1)</f>
        <v>46661</v>
      </c>
      <c r="S5" s="37" t="n">
        <f aca="false">DATE(YEAR(R5),MONTH(R5)+1,1)</f>
        <v>46692</v>
      </c>
      <c r="T5" s="37" t="n">
        <f aca="false">DATE(YEAR(S5),MONTH(S5)+1,1)</f>
        <v>46722</v>
      </c>
      <c r="U5" s="38" t="n">
        <f aca="false">DATE(YEAR(T5),MONTH(T5)+1,1)</f>
        <v>46753</v>
      </c>
    </row>
    <row r="6" customFormat="false" ht="15" hidden="false" customHeight="false" outlineLevel="0" collapsed="false">
      <c r="B6" s="21" t="s">
        <v>179</v>
      </c>
      <c r="C6" s="78" t="n">
        <v>0</v>
      </c>
      <c r="D6" s="17" t="n">
        <f aca="false">C6/12</f>
        <v>0</v>
      </c>
      <c r="E6" s="17" t="n">
        <f aca="false">C6/2080</f>
        <v>0</v>
      </c>
      <c r="H6" s="21" t="str">
        <f aca="false">B6</f>
        <v>Owner Salary (none; owner takes a $5,000/mo draw, see Cash Flow)</v>
      </c>
      <c r="I6" s="17" t="n">
        <f aca="false">D6</f>
        <v>0</v>
      </c>
      <c r="J6" s="17" t="n">
        <f aca="false">D6</f>
        <v>0</v>
      </c>
      <c r="K6" s="17" t="n">
        <f aca="false">D6</f>
        <v>0</v>
      </c>
      <c r="L6" s="17" t="n">
        <f aca="false">D6</f>
        <v>0</v>
      </c>
      <c r="M6" s="17" t="n">
        <f aca="false">D6</f>
        <v>0</v>
      </c>
      <c r="N6" s="17" t="n">
        <f aca="false">D6</f>
        <v>0</v>
      </c>
      <c r="O6" s="17" t="n">
        <f aca="false">D6</f>
        <v>0</v>
      </c>
      <c r="P6" s="17" t="n">
        <f aca="false">D6</f>
        <v>0</v>
      </c>
      <c r="Q6" s="17" t="n">
        <f aca="false">D6</f>
        <v>0</v>
      </c>
      <c r="R6" s="17" t="n">
        <f aca="false">D6</f>
        <v>0</v>
      </c>
      <c r="S6" s="17" t="n">
        <f aca="false">D6</f>
        <v>0</v>
      </c>
      <c r="T6" s="17" t="n">
        <f aca="false">D6</f>
        <v>0</v>
      </c>
      <c r="U6" s="17" t="n">
        <f aca="false">SUM(I6:T6)</f>
        <v>0</v>
      </c>
    </row>
    <row r="7" customFormat="false" ht="15" hidden="false" customHeight="false" outlineLevel="0" collapsed="false">
      <c r="B7" s="21" t="s">
        <v>180</v>
      </c>
      <c r="C7" s="78" t="n">
        <v>9600</v>
      </c>
      <c r="D7" s="17" t="n">
        <f aca="false">C7/12</f>
        <v>800</v>
      </c>
      <c r="E7" s="17" t="n">
        <f aca="false">C7/480</f>
        <v>20</v>
      </c>
      <c r="H7" s="21" t="str">
        <f aca="false">B7</f>
        <v>Chapter Lead - Ogden (part-time)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7" t="n">
        <f aca="false">D7</f>
        <v>800</v>
      </c>
      <c r="R7" s="17" t="n">
        <f aca="false">D7</f>
        <v>800</v>
      </c>
      <c r="S7" s="17" t="n">
        <f aca="false">D7</f>
        <v>800</v>
      </c>
      <c r="T7" s="17" t="n">
        <f aca="false">D7</f>
        <v>800</v>
      </c>
      <c r="U7" s="17" t="n">
        <f aca="false">SUM(I7:T7)</f>
        <v>3200</v>
      </c>
    </row>
    <row r="8" customFormat="false" ht="15" hidden="false" customHeight="false" outlineLevel="0" collapsed="false">
      <c r="B8" s="21" t="s">
        <v>181</v>
      </c>
      <c r="C8" s="78" t="n">
        <v>0</v>
      </c>
      <c r="D8" s="17" t="n">
        <f aca="false">C8/12</f>
        <v>0</v>
      </c>
      <c r="E8" s="17" t="n">
        <f aca="false">C8/2080</f>
        <v>0</v>
      </c>
      <c r="H8" s="21" t="str">
        <f aca="false">B8</f>
        <v>Chapter Lead - Provo (part-time, year 2)</v>
      </c>
      <c r="I8" s="17" t="n">
        <f aca="false">D8</f>
        <v>0</v>
      </c>
      <c r="J8" s="17" t="n">
        <f aca="false">D8</f>
        <v>0</v>
      </c>
      <c r="K8" s="17" t="n">
        <f aca="false">D8</f>
        <v>0</v>
      </c>
      <c r="L8" s="17" t="n">
        <f aca="false">D8</f>
        <v>0</v>
      </c>
      <c r="M8" s="17" t="n">
        <f aca="false">D8</f>
        <v>0</v>
      </c>
      <c r="N8" s="17" t="n">
        <f aca="false">D8</f>
        <v>0</v>
      </c>
      <c r="O8" s="17" t="n">
        <f aca="false">D8</f>
        <v>0</v>
      </c>
      <c r="P8" s="17" t="n">
        <f aca="false">D8</f>
        <v>0</v>
      </c>
      <c r="Q8" s="17" t="n">
        <f aca="false">D8</f>
        <v>0</v>
      </c>
      <c r="R8" s="17" t="n">
        <f aca="false">D8</f>
        <v>0</v>
      </c>
      <c r="S8" s="17" t="n">
        <f aca="false">D8</f>
        <v>0</v>
      </c>
      <c r="T8" s="17" t="n">
        <f aca="false">D8</f>
        <v>0</v>
      </c>
      <c r="U8" s="17" t="n">
        <f aca="false">SUM(I8:T8)</f>
        <v>0</v>
      </c>
    </row>
    <row r="9" customFormat="false" ht="15" hidden="false" customHeight="false" outlineLevel="0" collapsed="false">
      <c r="B9" s="21" t="s">
        <v>182</v>
      </c>
      <c r="C9" s="78" t="n">
        <v>0</v>
      </c>
      <c r="D9" s="17" t="n">
        <f aca="false">C9/12</f>
        <v>0</v>
      </c>
      <c r="E9" s="17" t="n">
        <f aca="false">C9/2080</f>
        <v>0</v>
      </c>
      <c r="H9" s="21" t="str">
        <f aca="false">B9</f>
        <v>Admin Assistant</v>
      </c>
      <c r="I9" s="17" t="n">
        <f aca="false">D9</f>
        <v>0</v>
      </c>
      <c r="J9" s="17" t="n">
        <f aca="false">D9</f>
        <v>0</v>
      </c>
      <c r="K9" s="17" t="n">
        <f aca="false">D9</f>
        <v>0</v>
      </c>
      <c r="L9" s="17" t="n">
        <f aca="false">D9</f>
        <v>0</v>
      </c>
      <c r="M9" s="17" t="n">
        <f aca="false">D9</f>
        <v>0</v>
      </c>
      <c r="N9" s="17" t="n">
        <f aca="false">D9</f>
        <v>0</v>
      </c>
      <c r="O9" s="17" t="n">
        <f aca="false">D9</f>
        <v>0</v>
      </c>
      <c r="P9" s="17" t="n">
        <f aca="false">D9</f>
        <v>0</v>
      </c>
      <c r="Q9" s="17" t="n">
        <f aca="false">D9</f>
        <v>0</v>
      </c>
      <c r="R9" s="17" t="n">
        <f aca="false">D9</f>
        <v>0</v>
      </c>
      <c r="S9" s="17" t="n">
        <f aca="false">D9</f>
        <v>0</v>
      </c>
      <c r="T9" s="17" t="n">
        <f aca="false">D9</f>
        <v>0</v>
      </c>
      <c r="U9" s="17" t="n">
        <f aca="false">SUM(I9:T9)</f>
        <v>0</v>
      </c>
    </row>
    <row r="10" customFormat="false" ht="15" hidden="false" customHeight="false" outlineLevel="0" collapsed="false">
      <c r="B10" s="21" t="s">
        <v>183</v>
      </c>
      <c r="C10" s="78" t="n">
        <v>0</v>
      </c>
      <c r="D10" s="17" t="n">
        <f aca="false">C10/12</f>
        <v>0</v>
      </c>
      <c r="E10" s="17" t="n">
        <f aca="false">C10/1040</f>
        <v>0</v>
      </c>
      <c r="H10" s="21" t="str">
        <f aca="false">B10</f>
        <v>Event crew (covered in direct costs)</v>
      </c>
      <c r="I10" s="17" t="n">
        <f aca="false">D10</f>
        <v>0</v>
      </c>
      <c r="J10" s="17" t="n">
        <f aca="false">D10</f>
        <v>0</v>
      </c>
      <c r="K10" s="17" t="n">
        <f aca="false">D10</f>
        <v>0</v>
      </c>
      <c r="L10" s="17" t="n">
        <f aca="false">D10</f>
        <v>0</v>
      </c>
      <c r="M10" s="17" t="n">
        <f aca="false">D10</f>
        <v>0</v>
      </c>
      <c r="N10" s="17" t="n">
        <f aca="false">D10</f>
        <v>0</v>
      </c>
      <c r="O10" s="17" t="n">
        <f aca="false">D10</f>
        <v>0</v>
      </c>
      <c r="P10" s="17" t="n">
        <f aca="false">D10</f>
        <v>0</v>
      </c>
      <c r="Q10" s="17" t="n">
        <f aca="false">D10</f>
        <v>0</v>
      </c>
      <c r="R10" s="17" t="n">
        <f aca="false">D10</f>
        <v>0</v>
      </c>
      <c r="S10" s="17" t="n">
        <f aca="false">D10</f>
        <v>0</v>
      </c>
      <c r="T10" s="17" t="n">
        <f aca="false">D10</f>
        <v>0</v>
      </c>
      <c r="U10" s="17" t="n">
        <f aca="false">SUM(I10:T10)</f>
        <v>0</v>
      </c>
    </row>
    <row r="11" customFormat="false" ht="15" hidden="false" customHeight="false" outlineLevel="0" collapsed="false">
      <c r="B11" s="21" t="s">
        <v>183</v>
      </c>
      <c r="C11" s="78" t="n">
        <v>0</v>
      </c>
      <c r="D11" s="17" t="n">
        <f aca="false">C11/12</f>
        <v>0</v>
      </c>
      <c r="E11" s="17" t="n">
        <f aca="false">C11/1040</f>
        <v>0</v>
      </c>
      <c r="H11" s="21" t="str">
        <f aca="false">B11</f>
        <v>Event crew (covered in direct costs)</v>
      </c>
      <c r="I11" s="17" t="n">
        <f aca="false">D11</f>
        <v>0</v>
      </c>
      <c r="J11" s="17" t="n">
        <f aca="false">D11</f>
        <v>0</v>
      </c>
      <c r="K11" s="17" t="n">
        <f aca="false">D11</f>
        <v>0</v>
      </c>
      <c r="L11" s="17" t="n">
        <f aca="false">D11</f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f aca="false">D11</f>
        <v>0</v>
      </c>
      <c r="U11" s="17" t="n">
        <f aca="false">SUM(I11:T11)</f>
        <v>0</v>
      </c>
    </row>
    <row r="12" customFormat="false" ht="15.75" hidden="false" customHeight="true" outlineLevel="0" collapsed="false">
      <c r="B12" s="21"/>
      <c r="C12" s="17"/>
      <c r="D12" s="17"/>
      <c r="E12" s="21"/>
      <c r="H12" s="79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</row>
    <row r="13" customFormat="false" ht="16.5" hidden="false" customHeight="true" outlineLevel="0" collapsed="false">
      <c r="B13" s="21" t="s">
        <v>184</v>
      </c>
      <c r="C13" s="17"/>
      <c r="D13" s="17" t="n">
        <f aca="false">SUM(D6:D11)</f>
        <v>800</v>
      </c>
      <c r="E13" s="21"/>
      <c r="H13" s="81" t="s">
        <v>185</v>
      </c>
      <c r="I13" s="82" t="n">
        <f aca="false">SUM(I6:I12)</f>
        <v>0</v>
      </c>
      <c r="J13" s="82" t="n">
        <f aca="false">SUM(J6:J12)</f>
        <v>0</v>
      </c>
      <c r="K13" s="82" t="n">
        <f aca="false">SUM(K6:K12)</f>
        <v>0</v>
      </c>
      <c r="L13" s="82" t="n">
        <f aca="false">SUM(L6:L12)</f>
        <v>0</v>
      </c>
      <c r="M13" s="82" t="n">
        <f aca="false">SUM(M6:M12)</f>
        <v>0</v>
      </c>
      <c r="N13" s="82" t="n">
        <f aca="false">SUM(N6:N12)</f>
        <v>0</v>
      </c>
      <c r="O13" s="82" t="n">
        <f aca="false">SUM(O6:O12)</f>
        <v>0</v>
      </c>
      <c r="P13" s="82" t="n">
        <f aca="false">SUM(P6:P12)</f>
        <v>0</v>
      </c>
      <c r="Q13" s="82" t="n">
        <f aca="false">SUM(Q6:Q12)</f>
        <v>800</v>
      </c>
      <c r="R13" s="82" t="n">
        <f aca="false">SUM(R6:R12)</f>
        <v>800</v>
      </c>
      <c r="S13" s="82" t="n">
        <f aca="false">SUM(S6:S12)</f>
        <v>800</v>
      </c>
      <c r="T13" s="82" t="n">
        <f aca="false">SUM(T6:T12)</f>
        <v>800</v>
      </c>
      <c r="U13" s="83" t="n">
        <f aca="false">SUM(U6:U12)</f>
        <v>3200</v>
      </c>
    </row>
    <row r="14" customFormat="false" ht="16.5" hidden="false" customHeight="true" outlineLevel="0" collapsed="false"/>
    <row r="15" customFormat="false" ht="15.75" hidden="false" customHeight="true" outlineLevel="0" collapsed="false">
      <c r="H15" s="84" t="s">
        <v>186</v>
      </c>
      <c r="I15" s="85" t="n">
        <f aca="false">I5</f>
        <v>46388</v>
      </c>
      <c r="J15" s="86" t="n">
        <f aca="false">DATE(YEAR(I15),MONTH(I15)+1,1)</f>
        <v>46419</v>
      </c>
      <c r="K15" s="86" t="n">
        <f aca="false">DATE(YEAR(J15),MONTH(J15)+1,1)</f>
        <v>46447</v>
      </c>
      <c r="L15" s="86" t="n">
        <f aca="false">DATE(YEAR(K15),MONTH(K15)+1,1)</f>
        <v>46478</v>
      </c>
      <c r="M15" s="86" t="n">
        <f aca="false">DATE(YEAR(L15),MONTH(L15)+1,1)</f>
        <v>46508</v>
      </c>
      <c r="N15" s="86" t="n">
        <f aca="false">DATE(YEAR(M15),MONTH(M15)+1,1)</f>
        <v>46539</v>
      </c>
      <c r="O15" s="86" t="n">
        <f aca="false">DATE(YEAR(N15),MONTH(N15)+1,1)</f>
        <v>46569</v>
      </c>
      <c r="P15" s="86" t="n">
        <f aca="false">DATE(YEAR(O15),MONTH(O15)+1,1)</f>
        <v>46600</v>
      </c>
      <c r="Q15" s="86" t="n">
        <f aca="false">DATE(YEAR(P15),MONTH(P15)+1,1)</f>
        <v>46631</v>
      </c>
      <c r="R15" s="86" t="n">
        <f aca="false">DATE(YEAR(Q15),MONTH(Q15)+1,1)</f>
        <v>46661</v>
      </c>
      <c r="S15" s="86" t="n">
        <f aca="false">DATE(YEAR(R15),MONTH(R15)+1,1)</f>
        <v>46692</v>
      </c>
      <c r="T15" s="87" t="n">
        <f aca="false">DATE(YEAR(S15),MONTH(S15)+1,1)</f>
        <v>46722</v>
      </c>
      <c r="U15" s="88"/>
    </row>
    <row r="16" customFormat="false" ht="15.75" hidden="false" customHeight="true" outlineLevel="0" collapsed="false">
      <c r="I16" s="89" t="s">
        <v>187</v>
      </c>
      <c r="J16" s="89" t="s">
        <v>188</v>
      </c>
      <c r="K16" s="89" t="s">
        <v>189</v>
      </c>
      <c r="L16" s="89" t="s">
        <v>190</v>
      </c>
      <c r="M16" s="89" t="s">
        <v>191</v>
      </c>
      <c r="N16" s="89" t="s">
        <v>192</v>
      </c>
      <c r="O16" s="89" t="s">
        <v>193</v>
      </c>
      <c r="P16" s="89" t="s">
        <v>194</v>
      </c>
      <c r="Q16" s="89" t="s">
        <v>195</v>
      </c>
      <c r="R16" s="89" t="s">
        <v>196</v>
      </c>
      <c r="S16" s="89" t="s">
        <v>197</v>
      </c>
      <c r="T16" s="89" t="s">
        <v>198</v>
      </c>
    </row>
    <row r="17" customFormat="false" ht="15" hidden="false" customHeight="false" outlineLevel="0" collapsed="false">
      <c r="B17" s="90" t="str">
        <f aca="false">B6</f>
        <v>Owner Salary (none; owner takes a $5,000/mo draw, see Cash Flow)</v>
      </c>
      <c r="C17" s="90"/>
      <c r="D17" s="90"/>
      <c r="E17" s="90"/>
      <c r="F17" s="91"/>
      <c r="G17" s="91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</row>
    <row r="18" customFormat="false" ht="107.25" hidden="false" customHeight="true" outlineLevel="0" collapsed="false">
      <c r="B18" s="93" t="s">
        <v>199</v>
      </c>
      <c r="C18" s="93"/>
      <c r="D18" s="93"/>
      <c r="E18" s="93"/>
      <c r="H18" s="94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4"/>
    </row>
    <row r="19" customFormat="false" ht="15.75" hidden="false" customHeight="true" outlineLevel="0" collapsed="false">
      <c r="H19" s="95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5"/>
    </row>
    <row r="20" customFormat="false" ht="15" hidden="false" customHeight="false" outlineLevel="0" collapsed="false">
      <c r="B20" s="90" t="str">
        <f aca="false">B7</f>
        <v>Chapter Lead - Ogden (part-time)</v>
      </c>
      <c r="C20" s="90"/>
      <c r="D20" s="90"/>
      <c r="E20" s="90"/>
      <c r="F20" s="91"/>
      <c r="G20" s="91"/>
      <c r="H20" s="95"/>
      <c r="I20" s="97"/>
      <c r="J20" s="97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5"/>
    </row>
    <row r="21" customFormat="false" ht="129" hidden="false" customHeight="true" outlineLevel="0" collapsed="false">
      <c r="B21" s="93" t="s">
        <v>200</v>
      </c>
      <c r="C21" s="93"/>
      <c r="D21" s="93"/>
      <c r="E21" s="93"/>
      <c r="H21" s="95"/>
      <c r="I21" s="97"/>
      <c r="J21" s="97"/>
      <c r="K21" s="97"/>
      <c r="L21" s="97"/>
      <c r="M21" s="97"/>
      <c r="N21" s="97"/>
      <c r="O21" s="97"/>
      <c r="P21" s="97"/>
      <c r="Q21" s="97"/>
      <c r="R21" s="97"/>
      <c r="S21" s="97"/>
      <c r="T21" s="97"/>
      <c r="U21" s="95"/>
    </row>
    <row r="22" customFormat="false" ht="15.75" hidden="false" customHeight="true" outlineLevel="0" collapsed="false">
      <c r="H22" s="95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5"/>
    </row>
    <row r="23" customFormat="false" ht="15" hidden="false" customHeight="false" outlineLevel="0" collapsed="false">
      <c r="B23" s="90" t="str">
        <f aca="false">B8</f>
        <v>Chapter Lead - Provo (part-time, year 2)</v>
      </c>
      <c r="C23" s="90"/>
      <c r="D23" s="90"/>
      <c r="E23" s="90"/>
      <c r="F23" s="91"/>
      <c r="G23" s="91"/>
      <c r="H23" s="95"/>
      <c r="I23" s="97"/>
      <c r="J23" s="97"/>
      <c r="K23" s="97"/>
      <c r="L23" s="97"/>
      <c r="M23" s="97"/>
      <c r="N23" s="97"/>
      <c r="O23" s="97"/>
      <c r="P23" s="97"/>
      <c r="Q23" s="97"/>
      <c r="R23" s="97"/>
      <c r="S23" s="97"/>
      <c r="T23" s="97"/>
      <c r="U23" s="95"/>
    </row>
    <row r="24" customFormat="false" ht="93" hidden="false" customHeight="true" outlineLevel="0" collapsed="false">
      <c r="B24" s="93" t="s">
        <v>201</v>
      </c>
      <c r="C24" s="93"/>
      <c r="D24" s="93"/>
      <c r="E24" s="93"/>
      <c r="H24" s="95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5"/>
    </row>
    <row r="25" customFormat="false" ht="15.75" hidden="false" customHeight="true" outlineLevel="0" collapsed="false">
      <c r="H25" s="95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5"/>
    </row>
    <row r="26" customFormat="false" ht="15" hidden="false" customHeight="false" outlineLevel="0" collapsed="false">
      <c r="B26" s="90" t="str">
        <f aca="false">B9</f>
        <v>Admin Assistant</v>
      </c>
      <c r="C26" s="90"/>
      <c r="D26" s="90"/>
      <c r="E26" s="90"/>
      <c r="F26" s="91"/>
      <c r="G26" s="91"/>
      <c r="H26" s="95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5"/>
    </row>
    <row r="27" customFormat="false" ht="121.5" hidden="false" customHeight="true" outlineLevel="0" collapsed="false">
      <c r="B27" s="93" t="s">
        <v>202</v>
      </c>
      <c r="C27" s="93"/>
      <c r="D27" s="93"/>
      <c r="E27" s="93"/>
      <c r="H27" s="95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5"/>
    </row>
    <row r="28" customFormat="false" ht="15.75" hidden="false" customHeight="true" outlineLevel="0" collapsed="false">
      <c r="H28" s="95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5"/>
    </row>
    <row r="29" customFormat="false" ht="15" hidden="false" customHeight="false" outlineLevel="0" collapsed="false">
      <c r="B29" s="90" t="str">
        <f aca="false">B10</f>
        <v>Event crew (covered in direct costs)</v>
      </c>
      <c r="C29" s="90"/>
      <c r="D29" s="90"/>
      <c r="E29" s="90"/>
      <c r="F29" s="91"/>
      <c r="G29" s="91"/>
      <c r="H29" s="95"/>
      <c r="I29" s="97"/>
      <c r="J29" s="97"/>
      <c r="K29" s="97"/>
      <c r="L29" s="97"/>
      <c r="M29" s="97"/>
      <c r="N29" s="97"/>
      <c r="O29" s="97"/>
      <c r="P29" s="97"/>
      <c r="Q29" s="97"/>
      <c r="R29" s="97"/>
      <c r="S29" s="97"/>
      <c r="T29" s="97"/>
      <c r="U29" s="95"/>
    </row>
    <row r="30" customFormat="false" ht="125.25" hidden="false" customHeight="true" outlineLevel="0" collapsed="false">
      <c r="B30" s="93" t="s">
        <v>203</v>
      </c>
      <c r="C30" s="93"/>
      <c r="D30" s="93"/>
      <c r="E30" s="93"/>
      <c r="H30" s="95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5"/>
    </row>
    <row r="31" customFormat="false" ht="15.75" hidden="false" customHeight="true" outlineLevel="0" collapsed="false">
      <c r="H31" s="95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5"/>
    </row>
    <row r="32" customFormat="false" ht="15" hidden="false" customHeight="false" outlineLevel="0" collapsed="false">
      <c r="B32" s="90" t="str">
        <f aca="false">B11</f>
        <v>Event crew (covered in direct costs)</v>
      </c>
      <c r="C32" s="90"/>
      <c r="D32" s="90"/>
      <c r="E32" s="90"/>
      <c r="F32" s="91"/>
      <c r="G32" s="91"/>
      <c r="H32" s="95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5"/>
    </row>
    <row r="33" customFormat="false" ht="124.5" hidden="false" customHeight="true" outlineLevel="0" collapsed="false">
      <c r="B33" s="93" t="s">
        <v>204</v>
      </c>
      <c r="C33" s="93"/>
      <c r="D33" s="93"/>
      <c r="E33" s="93"/>
      <c r="H33" s="95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5"/>
    </row>
    <row r="34" customFormat="false" ht="15" hidden="false" customHeight="false" outlineLevel="0" collapsed="false">
      <c r="H34" s="95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5"/>
    </row>
    <row r="35" customFormat="false" ht="15" hidden="false" customHeight="false" outlineLevel="0" collapsed="false">
      <c r="H35" s="95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5"/>
    </row>
    <row r="36" customFormat="false" ht="15" hidden="false" customHeight="false" outlineLevel="0" collapsed="false">
      <c r="H36" s="95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5"/>
    </row>
    <row r="37" customFormat="false" ht="15" hidden="false" customHeight="true" outlineLevel="0" collapsed="false">
      <c r="A37" s="98" t="s">
        <v>205</v>
      </c>
      <c r="B37" s="98"/>
      <c r="C37" s="98"/>
      <c r="D37" s="98"/>
      <c r="E37" s="98"/>
      <c r="F37" s="99"/>
      <c r="G37" s="99"/>
      <c r="H37" s="95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5"/>
    </row>
    <row r="38" customFormat="false" ht="15" hidden="false" customHeight="false" outlineLevel="0" collapsed="false">
      <c r="A38" s="98"/>
      <c r="B38" s="98"/>
      <c r="C38" s="98"/>
      <c r="D38" s="98"/>
      <c r="E38" s="98"/>
      <c r="F38" s="99"/>
      <c r="G38" s="99"/>
      <c r="H38" s="95"/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5"/>
    </row>
    <row r="39" customFormat="false" ht="15" hidden="false" customHeight="false" outlineLevel="0" collapsed="false">
      <c r="A39" s="98"/>
      <c r="B39" s="98"/>
      <c r="C39" s="98"/>
      <c r="D39" s="98"/>
      <c r="E39" s="98"/>
      <c r="F39" s="99"/>
      <c r="G39" s="99"/>
      <c r="H39" s="95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5"/>
    </row>
    <row r="40" customFormat="false" ht="15" hidden="false" customHeight="false" outlineLevel="0" collapsed="false">
      <c r="A40" s="98"/>
      <c r="B40" s="98"/>
      <c r="C40" s="98"/>
      <c r="D40" s="98"/>
      <c r="E40" s="98"/>
      <c r="F40" s="99"/>
      <c r="G40" s="99"/>
      <c r="H40" s="95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5"/>
    </row>
    <row r="41" customFormat="false" ht="15" hidden="false" customHeight="false" outlineLevel="0" collapsed="false">
      <c r="A41" s="98"/>
      <c r="B41" s="98"/>
      <c r="C41" s="98"/>
      <c r="D41" s="98"/>
      <c r="E41" s="98"/>
      <c r="H41" s="95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5"/>
    </row>
    <row r="42" customFormat="false" ht="15" hidden="false" customHeight="false" outlineLevel="0" collapsed="false">
      <c r="H42" s="95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5"/>
    </row>
  </sheetData>
  <mergeCells count="86">
    <mergeCell ref="B2:U2"/>
    <mergeCell ref="B17:E17"/>
    <mergeCell ref="I17:I18"/>
    <mergeCell ref="J17:J18"/>
    <mergeCell ref="K17:K18"/>
    <mergeCell ref="L17:L18"/>
    <mergeCell ref="M17:M18"/>
    <mergeCell ref="N17:N18"/>
    <mergeCell ref="O17:O18"/>
    <mergeCell ref="P17:P18"/>
    <mergeCell ref="Q17:Q18"/>
    <mergeCell ref="R17:R18"/>
    <mergeCell ref="S17:S18"/>
    <mergeCell ref="T17:T18"/>
    <mergeCell ref="B18:E18"/>
    <mergeCell ref="B20:E20"/>
    <mergeCell ref="I20:I21"/>
    <mergeCell ref="J20:J21"/>
    <mergeCell ref="K20:K21"/>
    <mergeCell ref="L20:L21"/>
    <mergeCell ref="M20:M21"/>
    <mergeCell ref="N20:N21"/>
    <mergeCell ref="O20:O21"/>
    <mergeCell ref="P20:P21"/>
    <mergeCell ref="Q20:Q21"/>
    <mergeCell ref="R20:R21"/>
    <mergeCell ref="S20:S21"/>
    <mergeCell ref="T20:T21"/>
    <mergeCell ref="B21:E21"/>
    <mergeCell ref="B23:E23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B24:E24"/>
    <mergeCell ref="B26:E26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B27:E27"/>
    <mergeCell ref="B29:E29"/>
    <mergeCell ref="I29:I30"/>
    <mergeCell ref="J29:J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B30:E30"/>
    <mergeCell ref="B32:E32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B33:E33"/>
    <mergeCell ref="A37:E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7.859375" defaultRowHeight="15.75" zeroHeight="false" outlineLevelRow="0" outlineLevelCol="0"/>
  <cols>
    <col collapsed="false" customWidth="true" hidden="false" outlineLevel="0" max="1" min="1" style="100" width="42.71"/>
    <col collapsed="false" customWidth="true" hidden="false" outlineLevel="0" max="2" min="2" style="101" width="15.71"/>
    <col collapsed="false" customWidth="true" hidden="false" outlineLevel="0" max="14" min="3" style="101" width="12.71"/>
    <col collapsed="false" customWidth="true" hidden="false" outlineLevel="0" max="15" min="15" style="101" width="17.57"/>
    <col collapsed="false" customWidth="false" hidden="false" outlineLevel="0" max="16384" min="16" style="101" width="7.86"/>
  </cols>
  <sheetData>
    <row r="1" customFormat="false" ht="36" hidden="false" customHeight="true" outlineLevel="0" collapsed="false">
      <c r="A1" s="102" t="s">
        <v>206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="104" customFormat="true" ht="15.75" hidden="false" customHeight="false" outlineLevel="0" collapsed="false">
      <c r="A2" s="103" t="s">
        <v>207</v>
      </c>
      <c r="G2" s="103" t="str">
        <f aca="false">'1st Year Projections'!B1</f>
        <v>Business Name: Colgrid</v>
      </c>
      <c r="H2" s="103"/>
      <c r="I2" s="103"/>
      <c r="M2" s="103"/>
      <c r="N2" s="105" t="s">
        <v>208</v>
      </c>
      <c r="O2" s="106" t="n">
        <f aca="false">'1st Year Projections'!A2</f>
        <v>46388</v>
      </c>
    </row>
    <row r="3" customFormat="false" ht="15.75" hidden="false" customHeight="false" outlineLevel="0" collapsed="false">
      <c r="A3" s="107"/>
      <c r="B3" s="108" t="s">
        <v>209</v>
      </c>
      <c r="C3" s="109" t="n">
        <f aca="false">O2</f>
        <v>46388</v>
      </c>
      <c r="D3" s="109" t="n">
        <f aca="false">DATE(YEAR(C3),MONTH(C3)+1,1)</f>
        <v>46419</v>
      </c>
      <c r="E3" s="109" t="n">
        <f aca="false">DATE(YEAR(D3),MONTH(D3)+1,1)</f>
        <v>46447</v>
      </c>
      <c r="F3" s="109" t="n">
        <f aca="false">DATE(YEAR(E3),MONTH(E3)+1,1)</f>
        <v>46478</v>
      </c>
      <c r="G3" s="109" t="n">
        <f aca="false">DATE(YEAR(F3),MONTH(F3)+1,1)</f>
        <v>46508</v>
      </c>
      <c r="H3" s="109" t="n">
        <f aca="false">DATE(YEAR(G3),MONTH(G3)+1,1)</f>
        <v>46539</v>
      </c>
      <c r="I3" s="109" t="n">
        <f aca="false">DATE(YEAR(H3),MONTH(H3)+1,1)</f>
        <v>46569</v>
      </c>
      <c r="J3" s="109" t="n">
        <f aca="false">DATE(YEAR(I3),MONTH(I3)+1,1)</f>
        <v>46600</v>
      </c>
      <c r="K3" s="109" t="n">
        <f aca="false">DATE(YEAR(J3),MONTH(J3)+1,1)</f>
        <v>46631</v>
      </c>
      <c r="L3" s="109" t="n">
        <f aca="false">DATE(YEAR(K3),MONTH(K3)+1,1)</f>
        <v>46661</v>
      </c>
      <c r="M3" s="109" t="n">
        <f aca="false">DATE(YEAR(L3),MONTH(L3)+1,1)</f>
        <v>46692</v>
      </c>
      <c r="N3" s="110" t="n">
        <f aca="false">DATE(YEAR(M3),MONTH(M3)+1,1)</f>
        <v>46722</v>
      </c>
      <c r="O3" s="111"/>
    </row>
    <row r="4" customFormat="false" ht="16.5" hidden="false" customHeight="true" outlineLevel="0" collapsed="false">
      <c r="A4" s="112" t="s">
        <v>210</v>
      </c>
      <c r="B4" s="113" t="n">
        <v>3000</v>
      </c>
      <c r="C4" s="114" t="n">
        <f aca="false">B38</f>
        <v>13000</v>
      </c>
      <c r="D4" s="114" t="n">
        <f aca="false">C38</f>
        <v>8366.29432933098</v>
      </c>
      <c r="E4" s="114" t="n">
        <f aca="false">D38</f>
        <v>6308.78865866195</v>
      </c>
      <c r="F4" s="114" t="n">
        <f aca="false">E38</f>
        <v>4751.28298799293</v>
      </c>
      <c r="G4" s="114" t="n">
        <f aca="false">F38</f>
        <v>4093.7773173239</v>
      </c>
      <c r="H4" s="114" t="n">
        <f aca="false">G38</f>
        <v>3436.27164665488</v>
      </c>
      <c r="I4" s="114" t="n">
        <f aca="false">H38</f>
        <v>3085.06597598586</v>
      </c>
      <c r="J4" s="114" t="n">
        <f aca="false">I38</f>
        <v>8194.58530531683</v>
      </c>
      <c r="K4" s="114" t="n">
        <f aca="false">J38</f>
        <v>8879.10463464781</v>
      </c>
      <c r="L4" s="114" t="n">
        <f aca="false">K38</f>
        <v>10000</v>
      </c>
      <c r="M4" s="114" t="n">
        <f aca="false">L38</f>
        <v>10000</v>
      </c>
      <c r="N4" s="115" t="n">
        <f aca="false">M38</f>
        <v>10000</v>
      </c>
      <c r="O4" s="116"/>
    </row>
    <row r="5" customFormat="false" ht="16.5" hidden="false" customHeight="true" outlineLevel="0" collapsed="false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6"/>
    </row>
    <row r="6" customFormat="false" ht="15.75" hidden="false" customHeight="false" outlineLevel="0" collapsed="false">
      <c r="A6" s="119" t="s">
        <v>211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16"/>
    </row>
    <row r="7" customFormat="false" ht="15.75" hidden="false" customHeight="false" outlineLevel="0" collapsed="false">
      <c r="A7" s="121" t="s">
        <v>212</v>
      </c>
      <c r="B7" s="122"/>
      <c r="C7" s="123" t="n">
        <f aca="false">'1st Year Projections'!B9</f>
        <v>0</v>
      </c>
      <c r="D7" s="123" t="n">
        <f aca="false">'1st Year Projections'!C9</f>
        <v>2920</v>
      </c>
      <c r="E7" s="123" t="n">
        <f aca="false">'1st Year Projections'!D9</f>
        <v>2920</v>
      </c>
      <c r="F7" s="123" t="n">
        <f aca="false">'1st Year Projections'!E9</f>
        <v>2920</v>
      </c>
      <c r="G7" s="123" t="n">
        <f aca="false">'1st Year Projections'!F9</f>
        <v>2920</v>
      </c>
      <c r="H7" s="123" t="n">
        <f aca="false">'1st Year Projections'!G9</f>
        <v>2500</v>
      </c>
      <c r="I7" s="123" t="n">
        <f aca="false">'1st Year Projections'!H9</f>
        <v>10785</v>
      </c>
      <c r="J7" s="123" t="n">
        <f aca="false">'1st Year Projections'!I9</f>
        <v>5785</v>
      </c>
      <c r="K7" s="123" t="n">
        <f aca="false">'1st Year Projections'!J9</f>
        <v>12975</v>
      </c>
      <c r="L7" s="123" t="n">
        <f aca="false">'1st Year Projections'!K9</f>
        <v>7975</v>
      </c>
      <c r="M7" s="123" t="n">
        <f aca="false">'1st Year Projections'!L9</f>
        <v>10475</v>
      </c>
      <c r="N7" s="124" t="n">
        <f aca="false">'1st Year Projections'!M9</f>
        <v>7190</v>
      </c>
      <c r="O7" s="116"/>
    </row>
    <row r="8" customFormat="false" ht="15.75" hidden="false" customHeight="false" outlineLevel="0" collapsed="false">
      <c r="A8" s="125" t="s">
        <v>213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7"/>
      <c r="O8" s="116"/>
    </row>
    <row r="9" customFormat="false" ht="16.5" hidden="false" customHeight="true" outlineLevel="0" collapsed="false">
      <c r="A9" s="121" t="s">
        <v>214</v>
      </c>
      <c r="B9" s="128" t="n">
        <f aca="false">'Proposed Loan Details'!A4</f>
        <v>15000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9"/>
      <c r="O9" s="116"/>
    </row>
    <row r="10" customFormat="false" ht="15.75" hidden="false" customHeight="false" outlineLevel="0" collapsed="false">
      <c r="A10" s="130" t="s">
        <v>215</v>
      </c>
      <c r="B10" s="126" t="n">
        <f aca="false">SUM(B7:B9)</f>
        <v>15000</v>
      </c>
      <c r="C10" s="126" t="n">
        <f aca="false">SUM(C7:C9)</f>
        <v>0</v>
      </c>
      <c r="D10" s="126" t="n">
        <f aca="false">SUM(D7:D9)</f>
        <v>2920</v>
      </c>
      <c r="E10" s="126" t="n">
        <f aca="false">SUM(E7:E9)</f>
        <v>2920</v>
      </c>
      <c r="F10" s="126" t="n">
        <f aca="false">SUM(F7:F9)</f>
        <v>2920</v>
      </c>
      <c r="G10" s="126" t="n">
        <f aca="false">SUM(G7:G9)</f>
        <v>2920</v>
      </c>
      <c r="H10" s="126" t="n">
        <f aca="false">SUM(H7:H9)</f>
        <v>2500</v>
      </c>
      <c r="I10" s="126" t="n">
        <f aca="false">SUM(I7:I9)</f>
        <v>10785</v>
      </c>
      <c r="J10" s="126" t="n">
        <f aca="false">SUM(J7:J9)</f>
        <v>5785</v>
      </c>
      <c r="K10" s="126" t="n">
        <f aca="false">SUM(K7:K9)</f>
        <v>12975</v>
      </c>
      <c r="L10" s="126" t="n">
        <f aca="false">SUM(L7:L9)</f>
        <v>7975</v>
      </c>
      <c r="M10" s="126" t="n">
        <f aca="false">SUM(M7:M9)</f>
        <v>10475</v>
      </c>
      <c r="N10" s="127" t="n">
        <f aca="false">SUM(N7:N9)</f>
        <v>7190</v>
      </c>
      <c r="O10" s="116"/>
    </row>
    <row r="11" customFormat="false" ht="16.5" hidden="false" customHeight="true" outlineLevel="0" collapsed="false">
      <c r="A11" s="112" t="s">
        <v>216</v>
      </c>
      <c r="B11" s="114" t="n">
        <f aca="false">(B4+B10)</f>
        <v>18000</v>
      </c>
      <c r="C11" s="114" t="n">
        <f aca="false">(C4+C10)</f>
        <v>13000</v>
      </c>
      <c r="D11" s="114" t="n">
        <f aca="false">(D4+D10)</f>
        <v>11286.294329331</v>
      </c>
      <c r="E11" s="114" t="n">
        <f aca="false">(E4+E10)</f>
        <v>9228.78865866195</v>
      </c>
      <c r="F11" s="114" t="n">
        <f aca="false">(F4+F10)</f>
        <v>7671.28298799293</v>
      </c>
      <c r="G11" s="114" t="n">
        <f aca="false">(G4+G10)</f>
        <v>7013.77731732391</v>
      </c>
      <c r="H11" s="114" t="n">
        <f aca="false">(H4+H10)</f>
        <v>5936.27164665488</v>
      </c>
      <c r="I11" s="114" t="n">
        <f aca="false">(I4+I10)</f>
        <v>13870.0659759859</v>
      </c>
      <c r="J11" s="114" t="n">
        <f aca="false">(J4+J10)</f>
        <v>13979.5853053168</v>
      </c>
      <c r="K11" s="114" t="n">
        <f aca="false">(K4+K10)</f>
        <v>21854.1046346478</v>
      </c>
      <c r="L11" s="114" t="n">
        <f aca="false">(L4+L10)</f>
        <v>17975</v>
      </c>
      <c r="M11" s="114" t="n">
        <f aca="false">(M4+M10)</f>
        <v>20475</v>
      </c>
      <c r="N11" s="115" t="n">
        <f aca="false">(N4+N10)</f>
        <v>17190</v>
      </c>
      <c r="O11" s="116"/>
    </row>
    <row r="12" customFormat="false" ht="16.5" hidden="false" customHeight="true" outlineLevel="0" collapsed="false">
      <c r="A12" s="131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16"/>
    </row>
    <row r="13" customFormat="false" ht="16.5" hidden="false" customHeight="true" outlineLevel="0" collapsed="false">
      <c r="A13" s="112" t="s">
        <v>217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5"/>
      <c r="O13" s="116"/>
    </row>
    <row r="14" customFormat="false" ht="16.5" hidden="false" customHeight="true" outlineLevel="0" collapsed="false">
      <c r="A14" s="121" t="str">
        <f aca="false">'1st Year Projections'!A21</f>
        <v>Marketing </v>
      </c>
      <c r="B14" s="122"/>
      <c r="C14" s="123" t="n">
        <f aca="false">'1st Year Projections'!B21</f>
        <v>600</v>
      </c>
      <c r="D14" s="123" t="n">
        <f aca="false">'1st Year Projections'!C21</f>
        <v>800</v>
      </c>
      <c r="E14" s="123" t="n">
        <f aca="false">'1st Year Projections'!D21</f>
        <v>800</v>
      </c>
      <c r="F14" s="123" t="n">
        <f aca="false">'1st Year Projections'!E21</f>
        <v>800</v>
      </c>
      <c r="G14" s="123" t="n">
        <f aca="false">'1st Year Projections'!F21</f>
        <v>800</v>
      </c>
      <c r="H14" s="123" t="n">
        <f aca="false">'1st Year Projections'!G21</f>
        <v>400</v>
      </c>
      <c r="I14" s="123" t="n">
        <f aca="false">'1st Year Projections'!H21</f>
        <v>800</v>
      </c>
      <c r="J14" s="123" t="n">
        <f aca="false">'1st Year Projections'!I21</f>
        <v>800</v>
      </c>
      <c r="K14" s="123" t="n">
        <f aca="false">'1st Year Projections'!J21</f>
        <v>1000</v>
      </c>
      <c r="L14" s="123" t="n">
        <f aca="false">'1st Year Projections'!K21</f>
        <v>800</v>
      </c>
      <c r="M14" s="123" t="n">
        <f aca="false">'1st Year Projections'!L21</f>
        <v>800</v>
      </c>
      <c r="N14" s="124" t="n">
        <f aca="false">'1st Year Projections'!M21</f>
        <v>600</v>
      </c>
      <c r="O14" s="116"/>
    </row>
    <row r="15" customFormat="false" ht="15.75" hidden="false" customHeight="false" outlineLevel="0" collapsed="false">
      <c r="A15" s="125" t="str">
        <f aca="false">'1st Year Projections'!A22</f>
        <v>Bank Charges </v>
      </c>
      <c r="B15" s="126"/>
      <c r="C15" s="126" t="n">
        <f aca="false">'1st Year Projections'!B22</f>
        <v>20</v>
      </c>
      <c r="D15" s="126" t="n">
        <f aca="false">'1st Year Projections'!C22</f>
        <v>20</v>
      </c>
      <c r="E15" s="126" t="n">
        <f aca="false">'1st Year Projections'!D22</f>
        <v>20</v>
      </c>
      <c r="F15" s="126" t="n">
        <f aca="false">'1st Year Projections'!E22</f>
        <v>20</v>
      </c>
      <c r="G15" s="126" t="n">
        <f aca="false">'1st Year Projections'!F22</f>
        <v>20</v>
      </c>
      <c r="H15" s="126" t="n">
        <f aca="false">'1st Year Projections'!G22</f>
        <v>20</v>
      </c>
      <c r="I15" s="126" t="n">
        <f aca="false">'1st Year Projections'!H22</f>
        <v>20</v>
      </c>
      <c r="J15" s="126" t="n">
        <f aca="false">'1st Year Projections'!I22</f>
        <v>20</v>
      </c>
      <c r="K15" s="126" t="n">
        <f aca="false">'1st Year Projections'!J22</f>
        <v>20</v>
      </c>
      <c r="L15" s="126" t="n">
        <f aca="false">'1st Year Projections'!K22</f>
        <v>20</v>
      </c>
      <c r="M15" s="126" t="n">
        <f aca="false">'1st Year Projections'!L22</f>
        <v>20</v>
      </c>
      <c r="N15" s="127" t="n">
        <f aca="false">'1st Year Projections'!M22</f>
        <v>20</v>
      </c>
      <c r="O15" s="116"/>
    </row>
    <row r="16" customFormat="false" ht="15.75" hidden="false" customHeight="false" outlineLevel="0" collapsed="false">
      <c r="A16" s="121" t="str">
        <f aca="false">'1st Year Projections'!A23</f>
        <v>Car-Truck </v>
      </c>
      <c r="B16" s="122"/>
      <c r="C16" s="123" t="n">
        <f aca="false">'1st Year Projections'!B23</f>
        <v>100</v>
      </c>
      <c r="D16" s="123" t="n">
        <f aca="false">'1st Year Projections'!C23</f>
        <v>100</v>
      </c>
      <c r="E16" s="123" t="n">
        <f aca="false">'1st Year Projections'!D23</f>
        <v>100</v>
      </c>
      <c r="F16" s="123" t="n">
        <f aca="false">'1st Year Projections'!E23</f>
        <v>100</v>
      </c>
      <c r="G16" s="123" t="n">
        <f aca="false">'1st Year Projections'!F23</f>
        <v>100</v>
      </c>
      <c r="H16" s="123" t="n">
        <f aca="false">'1st Year Projections'!G23</f>
        <v>100</v>
      </c>
      <c r="I16" s="123" t="n">
        <f aca="false">'1st Year Projections'!H23</f>
        <v>100</v>
      </c>
      <c r="J16" s="123" t="n">
        <f aca="false">'1st Year Projections'!I23</f>
        <v>100</v>
      </c>
      <c r="K16" s="123" t="n">
        <f aca="false">'1st Year Projections'!J23</f>
        <v>150</v>
      </c>
      <c r="L16" s="123" t="n">
        <f aca="false">'1st Year Projections'!K23</f>
        <v>150</v>
      </c>
      <c r="M16" s="123" t="n">
        <f aca="false">'1st Year Projections'!L23</f>
        <v>150</v>
      </c>
      <c r="N16" s="124" t="n">
        <f aca="false">'1st Year Projections'!M23</f>
        <v>150</v>
      </c>
      <c r="O16" s="116"/>
    </row>
    <row r="17" customFormat="false" ht="15.75" hidden="false" customHeight="false" outlineLevel="0" collapsed="false">
      <c r="A17" s="125" t="str">
        <f aca="false">'1st Year Projections'!A24</f>
        <v>Utilities </v>
      </c>
      <c r="B17" s="126"/>
      <c r="C17" s="126" t="n">
        <f aca="false">'1st Year Projections'!B24</f>
        <v>0</v>
      </c>
      <c r="D17" s="126" t="n">
        <f aca="false">'1st Year Projections'!C24</f>
        <v>0</v>
      </c>
      <c r="E17" s="126" t="n">
        <f aca="false">'1st Year Projections'!D24</f>
        <v>0</v>
      </c>
      <c r="F17" s="126" t="n">
        <f aca="false">'1st Year Projections'!E24</f>
        <v>0</v>
      </c>
      <c r="G17" s="126" t="n">
        <f aca="false">'1st Year Projections'!F24</f>
        <v>0</v>
      </c>
      <c r="H17" s="126" t="n">
        <f aca="false">'1st Year Projections'!G24</f>
        <v>0</v>
      </c>
      <c r="I17" s="126" t="n">
        <f aca="false">'1st Year Projections'!H24</f>
        <v>0</v>
      </c>
      <c r="J17" s="126" t="n">
        <f aca="false">'1st Year Projections'!I24</f>
        <v>0</v>
      </c>
      <c r="K17" s="126" t="n">
        <f aca="false">'1st Year Projections'!J24</f>
        <v>0</v>
      </c>
      <c r="L17" s="126" t="n">
        <f aca="false">'1st Year Projections'!K24</f>
        <v>0</v>
      </c>
      <c r="M17" s="126" t="n">
        <f aca="false">'1st Year Projections'!L24</f>
        <v>0</v>
      </c>
      <c r="N17" s="127" t="n">
        <f aca="false">'1st Year Projections'!M24</f>
        <v>0</v>
      </c>
      <c r="O17" s="116"/>
    </row>
    <row r="18" customFormat="false" ht="15.75" hidden="false" customHeight="false" outlineLevel="0" collapsed="false">
      <c r="A18" s="121" t="str">
        <f aca="false">'1st Year Projections'!A25</f>
        <v>Rent/Lease</v>
      </c>
      <c r="B18" s="122"/>
      <c r="C18" s="123" t="n">
        <f aca="false">'1st Year Projections'!B25</f>
        <v>75</v>
      </c>
      <c r="D18" s="123" t="n">
        <f aca="false">'1st Year Projections'!C25</f>
        <v>75</v>
      </c>
      <c r="E18" s="123" t="n">
        <f aca="false">'1st Year Projections'!D25</f>
        <v>75</v>
      </c>
      <c r="F18" s="123" t="n">
        <f aca="false">'1st Year Projections'!E25</f>
        <v>75</v>
      </c>
      <c r="G18" s="123" t="n">
        <f aca="false">'1st Year Projections'!F25</f>
        <v>75</v>
      </c>
      <c r="H18" s="123" t="n">
        <f aca="false">'1st Year Projections'!G25</f>
        <v>75</v>
      </c>
      <c r="I18" s="123" t="n">
        <f aca="false">'1st Year Projections'!H25</f>
        <v>75</v>
      </c>
      <c r="J18" s="123" t="n">
        <f aca="false">'1st Year Projections'!I25</f>
        <v>75</v>
      </c>
      <c r="K18" s="123" t="n">
        <f aca="false">'1st Year Projections'!J25</f>
        <v>75</v>
      </c>
      <c r="L18" s="123" t="n">
        <f aca="false">'1st Year Projections'!K25</f>
        <v>75</v>
      </c>
      <c r="M18" s="123" t="n">
        <f aca="false">'1st Year Projections'!L25</f>
        <v>75</v>
      </c>
      <c r="N18" s="124" t="n">
        <f aca="false">'1st Year Projections'!M25</f>
        <v>75</v>
      </c>
      <c r="O18" s="116"/>
    </row>
    <row r="19" customFormat="false" ht="15.75" hidden="false" customHeight="false" outlineLevel="0" collapsed="false">
      <c r="A19" s="125" t="str">
        <f aca="false">'1st Year Projections'!A26</f>
        <v>Merchant Service Fees</v>
      </c>
      <c r="B19" s="126"/>
      <c r="C19" s="126" t="n">
        <f aca="false">'1st Year Projections'!B26</f>
        <v>0</v>
      </c>
      <c r="D19" s="126" t="n">
        <f aca="false">'1st Year Projections'!C26</f>
        <v>43.8</v>
      </c>
      <c r="E19" s="126" t="n">
        <f aca="false">'1st Year Projections'!D26</f>
        <v>43.8</v>
      </c>
      <c r="F19" s="126" t="n">
        <f aca="false">'1st Year Projections'!E26</f>
        <v>43.8</v>
      </c>
      <c r="G19" s="126" t="n">
        <f aca="false">'1st Year Projections'!F26</f>
        <v>43.8</v>
      </c>
      <c r="H19" s="126" t="n">
        <f aca="false">'1st Year Projections'!G26</f>
        <v>37.5</v>
      </c>
      <c r="I19" s="126" t="n">
        <f aca="false">'1st Year Projections'!H26</f>
        <v>161.775</v>
      </c>
      <c r="J19" s="126" t="n">
        <f aca="false">'1st Year Projections'!I26</f>
        <v>86.775</v>
      </c>
      <c r="K19" s="126" t="n">
        <f aca="false">'1st Year Projections'!J26</f>
        <v>194.625</v>
      </c>
      <c r="L19" s="126" t="n">
        <f aca="false">'1st Year Projections'!K26</f>
        <v>119.625</v>
      </c>
      <c r="M19" s="126" t="n">
        <f aca="false">'1st Year Projections'!L26</f>
        <v>157.125</v>
      </c>
      <c r="N19" s="127" t="n">
        <f aca="false">'1st Year Projections'!M26</f>
        <v>107.85</v>
      </c>
      <c r="O19" s="116"/>
    </row>
    <row r="20" customFormat="false" ht="15.75" hidden="false" customHeight="false" outlineLevel="0" collapsed="false">
      <c r="A20" s="121" t="str">
        <f aca="false">'1st Year Projections'!A27</f>
        <v>Office &amp; Supplies </v>
      </c>
      <c r="B20" s="122"/>
      <c r="C20" s="123" t="n">
        <f aca="false">'1st Year Projections'!B27</f>
        <v>100</v>
      </c>
      <c r="D20" s="123" t="n">
        <f aca="false">'1st Year Projections'!C27</f>
        <v>100</v>
      </c>
      <c r="E20" s="123" t="n">
        <f aca="false">'1st Year Projections'!D27</f>
        <v>100</v>
      </c>
      <c r="F20" s="123" t="n">
        <f aca="false">'1st Year Projections'!E27</f>
        <v>100</v>
      </c>
      <c r="G20" s="123" t="n">
        <f aca="false">'1st Year Projections'!F27</f>
        <v>100</v>
      </c>
      <c r="H20" s="123" t="n">
        <f aca="false">'1st Year Projections'!G27</f>
        <v>100</v>
      </c>
      <c r="I20" s="123" t="n">
        <f aca="false">'1st Year Projections'!H27</f>
        <v>100</v>
      </c>
      <c r="J20" s="123" t="n">
        <f aca="false">'1st Year Projections'!I27</f>
        <v>100</v>
      </c>
      <c r="K20" s="123" t="n">
        <f aca="false">'1st Year Projections'!J27</f>
        <v>100</v>
      </c>
      <c r="L20" s="123" t="n">
        <f aca="false">'1st Year Projections'!K27</f>
        <v>100</v>
      </c>
      <c r="M20" s="123" t="n">
        <f aca="false">'1st Year Projections'!L27</f>
        <v>100</v>
      </c>
      <c r="N20" s="124" t="n">
        <f aca="false">'1st Year Projections'!M27</f>
        <v>100</v>
      </c>
      <c r="O20" s="116"/>
    </row>
    <row r="21" customFormat="false" ht="15.75" hidden="false" customHeight="false" outlineLevel="0" collapsed="false">
      <c r="A21" s="125" t="str">
        <f aca="false">'1st Year Projections'!A28</f>
        <v>Office Meals / Entertainment</v>
      </c>
      <c r="B21" s="126"/>
      <c r="C21" s="126" t="n">
        <f aca="false">'1st Year Projections'!B28</f>
        <v>75</v>
      </c>
      <c r="D21" s="126" t="n">
        <f aca="false">'1st Year Projections'!C28</f>
        <v>75</v>
      </c>
      <c r="E21" s="126" t="n">
        <f aca="false">'1st Year Projections'!D28</f>
        <v>75</v>
      </c>
      <c r="F21" s="126" t="n">
        <f aca="false">'1st Year Projections'!E28</f>
        <v>75</v>
      </c>
      <c r="G21" s="126" t="n">
        <f aca="false">'1st Year Projections'!F28</f>
        <v>75</v>
      </c>
      <c r="H21" s="126" t="n">
        <f aca="false">'1st Year Projections'!G28</f>
        <v>75</v>
      </c>
      <c r="I21" s="126" t="n">
        <f aca="false">'1st Year Projections'!H28</f>
        <v>75</v>
      </c>
      <c r="J21" s="126" t="n">
        <f aca="false">'1st Year Projections'!I28</f>
        <v>75</v>
      </c>
      <c r="K21" s="126" t="n">
        <f aca="false">'1st Year Projections'!J28</f>
        <v>75</v>
      </c>
      <c r="L21" s="126" t="n">
        <f aca="false">'1st Year Projections'!K28</f>
        <v>75</v>
      </c>
      <c r="M21" s="126" t="n">
        <f aca="false">'1st Year Projections'!L28</f>
        <v>75</v>
      </c>
      <c r="N21" s="127" t="n">
        <f aca="false">'1st Year Projections'!M28</f>
        <v>75</v>
      </c>
      <c r="O21" s="116"/>
    </row>
    <row r="22" customFormat="false" ht="15.75" hidden="false" customHeight="false" outlineLevel="0" collapsed="false">
      <c r="A22" s="121" t="str">
        <f aca="false">'1st Year Projections'!A29</f>
        <v>Repairs </v>
      </c>
      <c r="B22" s="122"/>
      <c r="C22" s="123" t="n">
        <f aca="false">'1st Year Projections'!B29</f>
        <v>0</v>
      </c>
      <c r="D22" s="123" t="n">
        <f aca="false">'1st Year Projections'!C29</f>
        <v>0</v>
      </c>
      <c r="E22" s="123" t="n">
        <f aca="false">'1st Year Projections'!D29</f>
        <v>0</v>
      </c>
      <c r="F22" s="123" t="n">
        <f aca="false">'1st Year Projections'!E29</f>
        <v>0</v>
      </c>
      <c r="G22" s="123" t="n">
        <f aca="false">'1st Year Projections'!F29</f>
        <v>0</v>
      </c>
      <c r="H22" s="123" t="n">
        <f aca="false">'1st Year Projections'!G29</f>
        <v>0</v>
      </c>
      <c r="I22" s="123" t="n">
        <f aca="false">'1st Year Projections'!H29</f>
        <v>0</v>
      </c>
      <c r="J22" s="123" t="n">
        <f aca="false">'1st Year Projections'!I29</f>
        <v>0</v>
      </c>
      <c r="K22" s="123" t="n">
        <f aca="false">'1st Year Projections'!J29</f>
        <v>0</v>
      </c>
      <c r="L22" s="123" t="n">
        <f aca="false">'1st Year Projections'!K29</f>
        <v>0</v>
      </c>
      <c r="M22" s="123" t="n">
        <f aca="false">'1st Year Projections'!L29</f>
        <v>0</v>
      </c>
      <c r="N22" s="124" t="n">
        <f aca="false">'1st Year Projections'!M29</f>
        <v>0</v>
      </c>
      <c r="O22" s="116"/>
    </row>
    <row r="23" customFormat="false" ht="15.75" hidden="false" customHeight="false" outlineLevel="0" collapsed="false">
      <c r="A23" s="125" t="str">
        <f aca="false">'1st Year Projections'!A30</f>
        <v>Salary Expenses </v>
      </c>
      <c r="B23" s="126"/>
      <c r="C23" s="126" t="n">
        <f aca="false">'1st Year Projections'!B30</f>
        <v>0</v>
      </c>
      <c r="D23" s="126" t="n">
        <f aca="false">'1st Year Projections'!C30</f>
        <v>0</v>
      </c>
      <c r="E23" s="126" t="n">
        <f aca="false">'1st Year Projections'!D30</f>
        <v>0</v>
      </c>
      <c r="F23" s="126" t="n">
        <f aca="false">'1st Year Projections'!E30</f>
        <v>0</v>
      </c>
      <c r="G23" s="126" t="n">
        <f aca="false">'1st Year Projections'!F30</f>
        <v>0</v>
      </c>
      <c r="H23" s="126" t="n">
        <f aca="false">'1st Year Projections'!G30</f>
        <v>0</v>
      </c>
      <c r="I23" s="126" t="n">
        <f aca="false">'1st Year Projections'!H30</f>
        <v>0</v>
      </c>
      <c r="J23" s="126" t="n">
        <f aca="false">'1st Year Projections'!I30</f>
        <v>0</v>
      </c>
      <c r="K23" s="126" t="n">
        <f aca="false">'1st Year Projections'!J30</f>
        <v>800</v>
      </c>
      <c r="L23" s="126" t="n">
        <f aca="false">'1st Year Projections'!K30</f>
        <v>800</v>
      </c>
      <c r="M23" s="126" t="n">
        <f aca="false">'1st Year Projections'!L30</f>
        <v>800</v>
      </c>
      <c r="N23" s="127" t="n">
        <f aca="false">'1st Year Projections'!M30</f>
        <v>800</v>
      </c>
      <c r="O23" s="116"/>
    </row>
    <row r="24" customFormat="false" ht="15.75" hidden="false" customHeight="false" outlineLevel="0" collapsed="false">
      <c r="A24" s="121" t="str">
        <f aca="false">'1st Year Projections'!A31</f>
        <v>Telephone &amp; Internet</v>
      </c>
      <c r="B24" s="122"/>
      <c r="C24" s="123" t="n">
        <f aca="false">'1st Year Projections'!B31</f>
        <v>75</v>
      </c>
      <c r="D24" s="123" t="n">
        <f aca="false">'1st Year Projections'!C31</f>
        <v>75</v>
      </c>
      <c r="E24" s="123" t="n">
        <f aca="false">'1st Year Projections'!D31</f>
        <v>75</v>
      </c>
      <c r="F24" s="123" t="n">
        <f aca="false">'1st Year Projections'!E31</f>
        <v>75</v>
      </c>
      <c r="G24" s="123" t="n">
        <f aca="false">'1st Year Projections'!F31</f>
        <v>75</v>
      </c>
      <c r="H24" s="123" t="n">
        <f aca="false">'1st Year Projections'!G31</f>
        <v>75</v>
      </c>
      <c r="I24" s="123" t="n">
        <f aca="false">'1st Year Projections'!H31</f>
        <v>75</v>
      </c>
      <c r="J24" s="123" t="n">
        <f aca="false">'1st Year Projections'!I31</f>
        <v>75</v>
      </c>
      <c r="K24" s="123" t="n">
        <f aca="false">'1st Year Projections'!J31</f>
        <v>75</v>
      </c>
      <c r="L24" s="123" t="n">
        <f aca="false">'1st Year Projections'!K31</f>
        <v>75</v>
      </c>
      <c r="M24" s="123" t="n">
        <f aca="false">'1st Year Projections'!L31</f>
        <v>75</v>
      </c>
      <c r="N24" s="124" t="n">
        <f aca="false">'1st Year Projections'!M31</f>
        <v>75</v>
      </c>
      <c r="O24" s="116"/>
    </row>
    <row r="25" customFormat="false" ht="15.75" hidden="false" customHeight="false" outlineLevel="0" collapsed="false">
      <c r="A25" s="125" t="str">
        <f aca="false">'1st Year Projections'!A32</f>
        <v>Insurance </v>
      </c>
      <c r="B25" s="126"/>
      <c r="C25" s="126" t="n">
        <f aca="false">'1st Year Projections'!B32</f>
        <v>100</v>
      </c>
      <c r="D25" s="126" t="n">
        <f aca="false">'1st Year Projections'!C32</f>
        <v>100</v>
      </c>
      <c r="E25" s="126" t="n">
        <f aca="false">'1st Year Projections'!D32</f>
        <v>100</v>
      </c>
      <c r="F25" s="126" t="n">
        <f aca="false">'1st Year Projections'!E32</f>
        <v>100</v>
      </c>
      <c r="G25" s="126" t="n">
        <f aca="false">'1st Year Projections'!F32</f>
        <v>100</v>
      </c>
      <c r="H25" s="126" t="n">
        <f aca="false">'1st Year Projections'!G32</f>
        <v>100</v>
      </c>
      <c r="I25" s="126" t="n">
        <f aca="false">'1st Year Projections'!H32</f>
        <v>100</v>
      </c>
      <c r="J25" s="126" t="n">
        <f aca="false">'1st Year Projections'!I32</f>
        <v>100</v>
      </c>
      <c r="K25" s="126" t="n">
        <f aca="false">'1st Year Projections'!J32</f>
        <v>100</v>
      </c>
      <c r="L25" s="126" t="n">
        <f aca="false">'1st Year Projections'!K32</f>
        <v>100</v>
      </c>
      <c r="M25" s="126" t="n">
        <f aca="false">'1st Year Projections'!L32</f>
        <v>100</v>
      </c>
      <c r="N25" s="127" t="n">
        <f aca="false">'1st Year Projections'!M32</f>
        <v>100</v>
      </c>
      <c r="O25" s="116"/>
    </row>
    <row r="26" customFormat="false" ht="15.75" hidden="false" customHeight="false" outlineLevel="0" collapsed="false">
      <c r="A26" s="121" t="str">
        <f aca="false">'1st Year Projections'!A33</f>
        <v>Interest Expense Loan #1</v>
      </c>
      <c r="B26" s="122"/>
      <c r="C26" s="123" t="n">
        <f aca="false">'1st Year Projections'!B33</f>
        <v>125</v>
      </c>
      <c r="D26" s="123" t="n">
        <f aca="false">'1st Year Projections'!C33</f>
        <v>123.385786077758</v>
      </c>
      <c r="E26" s="123" t="n">
        <f aca="false">'1st Year Projections'!D33</f>
        <v>121.758120372831</v>
      </c>
      <c r="F26" s="123" t="n">
        <f aca="false">'1st Year Projections'!E33</f>
        <v>120.116890787029</v>
      </c>
      <c r="G26" s="123" t="n">
        <f aca="false">'1st Year Projections'!F33</f>
        <v>118.461984288013</v>
      </c>
      <c r="H26" s="123" t="n">
        <f aca="false">'1st Year Projections'!G33</f>
        <v>116.793286901504</v>
      </c>
      <c r="I26" s="123" t="n">
        <f aca="false">'1st Year Projections'!H33</f>
        <v>115.110683703442</v>
      </c>
      <c r="J26" s="123" t="n">
        <f aca="false">'1st Year Projections'!I33</f>
        <v>113.414058812062</v>
      </c>
      <c r="K26" s="123" t="n">
        <f aca="false">'1st Year Projections'!J33</f>
        <v>111.70329537992</v>
      </c>
      <c r="L26" s="123" t="n">
        <f aca="false">'1st Year Projections'!K33</f>
        <v>109.978275585845</v>
      </c>
      <c r="M26" s="123" t="n">
        <f aca="false">'1st Year Projections'!L33</f>
        <v>108.238880626818</v>
      </c>
      <c r="N26" s="124" t="n">
        <f aca="false">'1st Year Projections'!M33</f>
        <v>106.4849907098</v>
      </c>
      <c r="O26" s="116"/>
    </row>
    <row r="27" customFormat="false" ht="15.75" hidden="false" customHeight="false" outlineLevel="0" collapsed="false">
      <c r="A27" s="133" t="str">
        <f aca="false">'1st Year Projections'!A34</f>
        <v>Interest Expense Loan #2</v>
      </c>
      <c r="B27" s="126"/>
      <c r="C27" s="126" t="n">
        <f aca="false">'1st Year Projections'!B34</f>
        <v>0</v>
      </c>
      <c r="D27" s="126" t="n">
        <f aca="false">'1st Year Projections'!C34</f>
        <v>0</v>
      </c>
      <c r="E27" s="126" t="n">
        <f aca="false">'1st Year Projections'!D34</f>
        <v>0</v>
      </c>
      <c r="F27" s="126" t="n">
        <f aca="false">'1st Year Projections'!E34</f>
        <v>0</v>
      </c>
      <c r="G27" s="126" t="n">
        <f aca="false">'1st Year Projections'!F34</f>
        <v>0</v>
      </c>
      <c r="H27" s="126" t="n">
        <f aca="false">'1st Year Projections'!G34</f>
        <v>0</v>
      </c>
      <c r="I27" s="126" t="n">
        <f aca="false">'1st Year Projections'!H34</f>
        <v>0</v>
      </c>
      <c r="J27" s="126" t="n">
        <f aca="false">'1st Year Projections'!I34</f>
        <v>0</v>
      </c>
      <c r="K27" s="126" t="n">
        <f aca="false">'1st Year Projections'!J34</f>
        <v>0</v>
      </c>
      <c r="L27" s="126" t="n">
        <f aca="false">'1st Year Projections'!K34</f>
        <v>0</v>
      </c>
      <c r="M27" s="126" t="n">
        <f aca="false">'1st Year Projections'!L34</f>
        <v>0</v>
      </c>
      <c r="N27" s="127" t="n">
        <f aca="false">'1st Year Projections'!M34</f>
        <v>0</v>
      </c>
      <c r="O27" s="116"/>
    </row>
    <row r="28" customFormat="false" ht="15.75" hidden="false" customHeight="false" outlineLevel="0" collapsed="false">
      <c r="A28" s="122" t="str">
        <f aca="false">'1st Year Projections'!A35</f>
        <v>Software &amp; Web Pass</v>
      </c>
      <c r="B28" s="122"/>
      <c r="C28" s="123" t="n">
        <f aca="false">'1st Year Projections'!B35</f>
        <v>120</v>
      </c>
      <c r="D28" s="123" t="n">
        <f aca="false">'1st Year Projections'!C35</f>
        <v>120</v>
      </c>
      <c r="E28" s="123" t="n">
        <f aca="false">'1st Year Projections'!D35</f>
        <v>120</v>
      </c>
      <c r="F28" s="123" t="n">
        <f aca="false">'1st Year Projections'!E35</f>
        <v>120</v>
      </c>
      <c r="G28" s="123" t="n">
        <f aca="false">'1st Year Projections'!F35</f>
        <v>120</v>
      </c>
      <c r="H28" s="123" t="n">
        <f aca="false">'1st Year Projections'!G35</f>
        <v>120</v>
      </c>
      <c r="I28" s="123" t="n">
        <f aca="false">'1st Year Projections'!H35</f>
        <v>120</v>
      </c>
      <c r="J28" s="123" t="n">
        <f aca="false">'1st Year Projections'!I35</f>
        <v>120</v>
      </c>
      <c r="K28" s="123" t="n">
        <f aca="false">'1st Year Projections'!J35</f>
        <v>120</v>
      </c>
      <c r="L28" s="123" t="n">
        <f aca="false">'1st Year Projections'!K35</f>
        <v>120</v>
      </c>
      <c r="M28" s="123" t="n">
        <f aca="false">'1st Year Projections'!L35</f>
        <v>120</v>
      </c>
      <c r="N28" s="124" t="n">
        <f aca="false">'1st Year Projections'!M35</f>
        <v>120</v>
      </c>
      <c r="O28" s="116"/>
    </row>
    <row r="29" customFormat="false" ht="15.75" hidden="false" customHeight="false" outlineLevel="0" collapsed="false">
      <c r="A29" s="133" t="str">
        <f aca="false">'1st Year Projections'!A36</f>
        <v>Professional Fees (legal, trademark, CPA)</v>
      </c>
      <c r="B29" s="126"/>
      <c r="C29" s="126" t="n">
        <f aca="false">'1st Year Projections'!B36</f>
        <v>1500</v>
      </c>
      <c r="D29" s="126" t="n">
        <f aca="false">'1st Year Projections'!C36</f>
        <v>0</v>
      </c>
      <c r="E29" s="126" t="n">
        <f aca="false">'1st Year Projections'!D36</f>
        <v>1000</v>
      </c>
      <c r="F29" s="126" t="n">
        <f aca="false">'1st Year Projections'!E36</f>
        <v>100</v>
      </c>
      <c r="G29" s="126" t="n">
        <f aca="false">'1st Year Projections'!F36</f>
        <v>100</v>
      </c>
      <c r="H29" s="126" t="n">
        <f aca="false">'1st Year Projections'!G36</f>
        <v>100</v>
      </c>
      <c r="I29" s="126" t="n">
        <f aca="false">'1st Year Projections'!H36</f>
        <v>100</v>
      </c>
      <c r="J29" s="126" t="n">
        <f aca="false">'1st Year Projections'!I36</f>
        <v>100</v>
      </c>
      <c r="K29" s="126" t="n">
        <f aca="false">'1st Year Projections'!J36</f>
        <v>100</v>
      </c>
      <c r="L29" s="126" t="n">
        <f aca="false">'1st Year Projections'!K36</f>
        <v>100</v>
      </c>
      <c r="M29" s="126" t="n">
        <f aca="false">'1st Year Projections'!L36</f>
        <v>100</v>
      </c>
      <c r="N29" s="127" t="n">
        <f aca="false">'1st Year Projections'!M36</f>
        <v>100</v>
      </c>
      <c r="O29" s="116"/>
    </row>
    <row r="30" customFormat="false" ht="15.75" hidden="false" customHeight="false" outlineLevel="0" collapsed="false">
      <c r="A30" s="122" t="str">
        <f aca="false">'1st Year Projections'!A37</f>
        <v>Licenses, Permits &amp; Fees</v>
      </c>
      <c r="B30" s="122"/>
      <c r="C30" s="123" t="n">
        <f aca="false">'1st Year Projections'!B37</f>
        <v>50</v>
      </c>
      <c r="D30" s="123" t="n">
        <f aca="false">'1st Year Projections'!C37</f>
        <v>50</v>
      </c>
      <c r="E30" s="123" t="n">
        <f aca="false">'1st Year Projections'!D37</f>
        <v>50</v>
      </c>
      <c r="F30" s="123" t="n">
        <f aca="false">'1st Year Projections'!E37</f>
        <v>50</v>
      </c>
      <c r="G30" s="123" t="n">
        <f aca="false">'1st Year Projections'!F37</f>
        <v>50</v>
      </c>
      <c r="H30" s="123" t="n">
        <f aca="false">'1st Year Projections'!G37</f>
        <v>50</v>
      </c>
      <c r="I30" s="123" t="n">
        <f aca="false">'1st Year Projections'!H37</f>
        <v>50</v>
      </c>
      <c r="J30" s="123" t="n">
        <f aca="false">'1st Year Projections'!I37</f>
        <v>50</v>
      </c>
      <c r="K30" s="123" t="n">
        <f aca="false">'1st Year Projections'!J37</f>
        <v>50</v>
      </c>
      <c r="L30" s="123" t="n">
        <f aca="false">'1st Year Projections'!K37</f>
        <v>50</v>
      </c>
      <c r="M30" s="123" t="n">
        <f aca="false">'1st Year Projections'!L37</f>
        <v>50</v>
      </c>
      <c r="N30" s="124" t="n">
        <f aca="false">'1st Year Projections'!M37</f>
        <v>50</v>
      </c>
      <c r="O30" s="116"/>
    </row>
    <row r="31" customFormat="false" ht="15.75" hidden="false" customHeight="false" outlineLevel="0" collapsed="false">
      <c r="A31" s="133" t="str">
        <f aca="false">'1st Year Projections'!A38</f>
        <v>Brand &amp; Design</v>
      </c>
      <c r="B31" s="126"/>
      <c r="C31" s="126" t="n">
        <f aca="false">'1st Year Projections'!B38</f>
        <v>1500</v>
      </c>
      <c r="D31" s="126" t="n">
        <f aca="false">'1st Year Projections'!C38</f>
        <v>1500</v>
      </c>
      <c r="E31" s="126" t="n">
        <f aca="false">'1st Year Projections'!D38</f>
        <v>0</v>
      </c>
      <c r="F31" s="126" t="n">
        <f aca="false">'1st Year Projections'!E38</f>
        <v>0</v>
      </c>
      <c r="G31" s="126" t="n">
        <f aca="false">'1st Year Projections'!F38</f>
        <v>0</v>
      </c>
      <c r="H31" s="126" t="n">
        <f aca="false">'1st Year Projections'!G38</f>
        <v>0</v>
      </c>
      <c r="I31" s="126" t="n">
        <f aca="false">'1st Year Projections'!H38</f>
        <v>0</v>
      </c>
      <c r="J31" s="126" t="n">
        <f aca="false">'1st Year Projections'!I38</f>
        <v>0</v>
      </c>
      <c r="K31" s="126" t="n">
        <f aca="false">'1st Year Projections'!J38</f>
        <v>0</v>
      </c>
      <c r="L31" s="126" t="n">
        <f aca="false">'1st Year Projections'!K38</f>
        <v>0</v>
      </c>
      <c r="M31" s="126" t="n">
        <f aca="false">'1st Year Projections'!L38</f>
        <v>0</v>
      </c>
      <c r="N31" s="127" t="n">
        <f aca="false">'1st Year Projections'!M38</f>
        <v>0</v>
      </c>
      <c r="O31" s="116"/>
    </row>
    <row r="32" customFormat="false" ht="15.75" hidden="false" customHeight="false" outlineLevel="0" collapsed="false">
      <c r="A32" s="122" t="s">
        <v>218</v>
      </c>
      <c r="B32" s="122"/>
      <c r="C32" s="123" t="n">
        <f aca="false">'Proposed Loan Details'!$A$7-'1st Year Projections'!B33</f>
        <v>193.705670669024</v>
      </c>
      <c r="D32" s="123" t="n">
        <f aca="false">'Proposed Loan Details'!$A$7-'1st Year Projections'!C33</f>
        <v>195.319884591266</v>
      </c>
      <c r="E32" s="123" t="n">
        <f aca="false">'Proposed Loan Details'!$A$7-'1st Year Projections'!D33</f>
        <v>196.947550296193</v>
      </c>
      <c r="F32" s="123" t="n">
        <f aca="false">'Proposed Loan Details'!$A$7-'1st Year Projections'!E33</f>
        <v>198.588779881995</v>
      </c>
      <c r="G32" s="123" t="n">
        <f aca="false">'Proposed Loan Details'!$A$7-'1st Year Projections'!F33</f>
        <v>200.243686381011</v>
      </c>
      <c r="H32" s="123" t="n">
        <f aca="false">'Proposed Loan Details'!$A$7-'1st Year Projections'!G33</f>
        <v>201.91238376752</v>
      </c>
      <c r="I32" s="123" t="n">
        <f aca="false">'Proposed Loan Details'!$A$7-'1st Year Projections'!H33</f>
        <v>203.594986965582</v>
      </c>
      <c r="J32" s="123" t="n">
        <f aca="false">'Proposed Loan Details'!$A$7-'1st Year Projections'!I33</f>
        <v>205.291611856962</v>
      </c>
      <c r="K32" s="123" t="n">
        <f aca="false">'Proposed Loan Details'!$A$7-'1st Year Projections'!J33</f>
        <v>207.002375289104</v>
      </c>
      <c r="L32" s="123" t="n">
        <f aca="false">'Proposed Loan Details'!$A$7-'1st Year Projections'!K33</f>
        <v>208.72739508318</v>
      </c>
      <c r="M32" s="123" t="n">
        <f aca="false">'Proposed Loan Details'!$A$7-'1st Year Projections'!L33</f>
        <v>210.466790042206</v>
      </c>
      <c r="N32" s="124" t="n">
        <f aca="false">'Proposed Loan Details'!$A$7-'1st Year Projections'!M33</f>
        <v>212.220679959224</v>
      </c>
      <c r="O32" s="116"/>
    </row>
    <row r="33" customFormat="false" ht="16.5" hidden="false" customHeight="true" outlineLevel="0" collapsed="false">
      <c r="A33" s="112" t="s">
        <v>219</v>
      </c>
      <c r="B33" s="114" t="n">
        <f aca="false">SUM(B14:B32)</f>
        <v>0</v>
      </c>
      <c r="C33" s="114" t="n">
        <f aca="false">SUM(C14:C32)</f>
        <v>4633.70567066902</v>
      </c>
      <c r="D33" s="114" t="n">
        <f aca="false">SUM(D14:D32)</f>
        <v>3377.50567066902</v>
      </c>
      <c r="E33" s="114" t="n">
        <f aca="false">SUM(E14:E32)</f>
        <v>2877.50567066902</v>
      </c>
      <c r="F33" s="114" t="n">
        <f aca="false">SUM(F14:F32)</f>
        <v>1977.50567066902</v>
      </c>
      <c r="G33" s="114" t="n">
        <f aca="false">SUM(G14:G32)</f>
        <v>1977.50567066902</v>
      </c>
      <c r="H33" s="114" t="n">
        <f aca="false">SUM(H14:H32)</f>
        <v>1571.20567066902</v>
      </c>
      <c r="I33" s="114" t="n">
        <f aca="false">SUM(I14:I32)</f>
        <v>2095.48067066902</v>
      </c>
      <c r="J33" s="114" t="n">
        <f aca="false">SUM(J14:J32)</f>
        <v>2020.48067066902</v>
      </c>
      <c r="K33" s="114" t="n">
        <f aca="false">SUM(K14:K32)</f>
        <v>3178.33067066902</v>
      </c>
      <c r="L33" s="114" t="n">
        <f aca="false">SUM(L14:L32)</f>
        <v>2903.33067066902</v>
      </c>
      <c r="M33" s="114" t="n">
        <f aca="false">SUM(M14:M32)</f>
        <v>2940.83067066902</v>
      </c>
      <c r="N33" s="115" t="n">
        <f aca="false">SUM(N14:N32)</f>
        <v>2691.55567066902</v>
      </c>
      <c r="O33" s="116"/>
    </row>
    <row r="34" customFormat="false" ht="16.5" hidden="false" customHeight="true" outlineLevel="0" collapsed="false">
      <c r="A34" s="133" t="s">
        <v>220</v>
      </c>
      <c r="B34" s="126"/>
      <c r="C34" s="126" t="n">
        <f aca="false">'1st Year Projections'!B16</f>
        <v>0</v>
      </c>
      <c r="D34" s="126" t="n">
        <f aca="false">'1st Year Projections'!C16</f>
        <v>1600</v>
      </c>
      <c r="E34" s="126" t="n">
        <f aca="false">'1st Year Projections'!D16</f>
        <v>1600</v>
      </c>
      <c r="F34" s="126" t="n">
        <f aca="false">'1st Year Projections'!E16</f>
        <v>1600</v>
      </c>
      <c r="G34" s="126" t="n">
        <f aca="false">'1st Year Projections'!F16</f>
        <v>1600</v>
      </c>
      <c r="H34" s="126" t="n">
        <f aca="false">'1st Year Projections'!G16</f>
        <v>1280</v>
      </c>
      <c r="I34" s="126" t="n">
        <f aca="false">'1st Year Projections'!H16</f>
        <v>3580</v>
      </c>
      <c r="J34" s="126" t="n">
        <f aca="false">'1st Year Projections'!I16</f>
        <v>3080</v>
      </c>
      <c r="K34" s="126" t="n">
        <f aca="false">'1st Year Projections'!J16</f>
        <v>4780</v>
      </c>
      <c r="L34" s="126" t="n">
        <f aca="false">'1st Year Projections'!K16</f>
        <v>4280</v>
      </c>
      <c r="M34" s="126" t="n">
        <f aca="false">'1st Year Projections'!L16</f>
        <v>5560</v>
      </c>
      <c r="N34" s="127" t="n">
        <f aca="false">'1st Year Projections'!M16</f>
        <v>3760</v>
      </c>
      <c r="O34" s="116"/>
    </row>
    <row r="35" customFormat="false" ht="15.75" hidden="false" customHeight="false" outlineLevel="0" collapsed="false">
      <c r="A35" s="122" t="s">
        <v>221</v>
      </c>
      <c r="B35" s="134" t="n">
        <v>5000</v>
      </c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9"/>
      <c r="O35" s="116"/>
    </row>
    <row r="36" customFormat="false" ht="15.75" hidden="false" customHeight="false" outlineLevel="0" collapsed="false">
      <c r="A36" s="133" t="s">
        <v>222</v>
      </c>
      <c r="B36" s="126"/>
      <c r="C36" s="126" t="n">
        <f aca="false">MIN(0+Assumptions!$B$43,MAX(0,C11-C33-C34-C35-Assumptions!$B$44))</f>
        <v>0</v>
      </c>
      <c r="D36" s="126" t="n">
        <f aca="false">MIN(C48+Assumptions!$B$43,MAX(0,D11-D33-D34-D35-Assumptions!$B$44))</f>
        <v>0</v>
      </c>
      <c r="E36" s="126" t="n">
        <f aca="false">MIN(D48+Assumptions!$B$43,MAX(0,E11-E33-E34-E35-Assumptions!$B$44))</f>
        <v>0</v>
      </c>
      <c r="F36" s="126" t="n">
        <f aca="false">MIN(E48+Assumptions!$B$43,MAX(0,F11-F33-F34-F35-Assumptions!$B$44))</f>
        <v>0</v>
      </c>
      <c r="G36" s="126" t="n">
        <f aca="false">MIN(F48+Assumptions!$B$43,MAX(0,G11-G33-G34-G35-Assumptions!$B$44))</f>
        <v>0</v>
      </c>
      <c r="H36" s="126" t="n">
        <f aca="false">MIN(G48+Assumptions!$B$43,MAX(0,H11-H33-H34-H35-Assumptions!$B$44))</f>
        <v>0</v>
      </c>
      <c r="I36" s="126" t="n">
        <f aca="false">MIN(H48+Assumptions!$B$43,MAX(0,I11-I33-I34-I35-Assumptions!$B$44))</f>
        <v>0</v>
      </c>
      <c r="J36" s="126" t="n">
        <f aca="false">MIN(I48+Assumptions!$B$43,MAX(0,J11-J33-J34-J35-Assumptions!$B$44))</f>
        <v>0</v>
      </c>
      <c r="K36" s="126" t="n">
        <f aca="false">MIN(J48+Assumptions!$B$43,MAX(0,K11-K33-K34-K35-Assumptions!$B$44))</f>
        <v>3895.77396397878</v>
      </c>
      <c r="L36" s="126" t="n">
        <f aca="false">MIN(K48+Assumptions!$B$43,MAX(0,L11-L33-L34-L35-Assumptions!$B$44))</f>
        <v>791.669329330976</v>
      </c>
      <c r="M36" s="126" t="n">
        <f aca="false">MIN(L48+Assumptions!$B$43,MAX(0,M11-M33-M34-M35-Assumptions!$B$44))</f>
        <v>1974.16932933098</v>
      </c>
      <c r="N36" s="127" t="n">
        <f aca="false">MIN(M48+Assumptions!$B$43,MAX(0,N11-N33-N34-N35-Assumptions!$B$44))</f>
        <v>738.444329330976</v>
      </c>
      <c r="O36" s="116"/>
    </row>
    <row r="37" customFormat="false" ht="15.75" hidden="false" customHeight="false" outlineLevel="0" collapsed="false">
      <c r="A37" s="135" t="s">
        <v>223</v>
      </c>
      <c r="B37" s="128" t="n">
        <f aca="false">SUM(B33:B36)</f>
        <v>5000</v>
      </c>
      <c r="C37" s="128" t="n">
        <f aca="false">SUM(C33:C36)</f>
        <v>4633.70567066902</v>
      </c>
      <c r="D37" s="128" t="n">
        <f aca="false">SUM(D33:D36)</f>
        <v>4977.50567066902</v>
      </c>
      <c r="E37" s="128" t="n">
        <f aca="false">SUM(E33:E36)</f>
        <v>4477.50567066903</v>
      </c>
      <c r="F37" s="128" t="n">
        <f aca="false">SUM(F33:F36)</f>
        <v>3577.50567066902</v>
      </c>
      <c r="G37" s="128" t="n">
        <f aca="false">SUM(G33:G36)</f>
        <v>3577.50567066902</v>
      </c>
      <c r="H37" s="128" t="n">
        <f aca="false">SUM(H33:H36)</f>
        <v>2851.20567066902</v>
      </c>
      <c r="I37" s="128" t="n">
        <f aca="false">SUM(I33:I36)</f>
        <v>5675.48067066902</v>
      </c>
      <c r="J37" s="128" t="n">
        <f aca="false">SUM(J33:J36)</f>
        <v>5100.48067066902</v>
      </c>
      <c r="K37" s="128" t="n">
        <f aca="false">SUM(K33:K36)</f>
        <v>11854.1046346478</v>
      </c>
      <c r="L37" s="128" t="n">
        <f aca="false">SUM(L33:L36)</f>
        <v>7975</v>
      </c>
      <c r="M37" s="128" t="n">
        <f aca="false">SUM(M33:M36)</f>
        <v>10475</v>
      </c>
      <c r="N37" s="129" t="n">
        <f aca="false">SUM(N33:N36)</f>
        <v>7190</v>
      </c>
      <c r="O37" s="116"/>
    </row>
    <row r="38" customFormat="false" ht="16.5" hidden="false" customHeight="true" outlineLevel="0" collapsed="false">
      <c r="A38" s="112" t="s">
        <v>224</v>
      </c>
      <c r="B38" s="114" t="n">
        <f aca="false">(B11-B37)</f>
        <v>13000</v>
      </c>
      <c r="C38" s="114" t="n">
        <f aca="false">(C11-C37)</f>
        <v>8366.29432933098</v>
      </c>
      <c r="D38" s="114" t="n">
        <f aca="false">(D11-D37)</f>
        <v>6308.78865866195</v>
      </c>
      <c r="E38" s="114" t="n">
        <f aca="false">(E11-E37)</f>
        <v>4751.28298799293</v>
      </c>
      <c r="F38" s="114" t="n">
        <f aca="false">(F11-F37)</f>
        <v>4093.7773173239</v>
      </c>
      <c r="G38" s="114" t="n">
        <f aca="false">(G11-G37)</f>
        <v>3436.27164665488</v>
      </c>
      <c r="H38" s="114" t="n">
        <f aca="false">(H11-H37)</f>
        <v>3085.06597598586</v>
      </c>
      <c r="I38" s="114" t="n">
        <f aca="false">(I11-I37)</f>
        <v>8194.58530531683</v>
      </c>
      <c r="J38" s="114" t="n">
        <f aca="false">(J11-J37)</f>
        <v>8879.10463464781</v>
      </c>
      <c r="K38" s="114" t="n">
        <f aca="false">(K11-K37)</f>
        <v>10000</v>
      </c>
      <c r="L38" s="114" t="n">
        <f aca="false">(L11-L37)</f>
        <v>10000</v>
      </c>
      <c r="M38" s="114" t="n">
        <f aca="false">(M11-M37)</f>
        <v>10000</v>
      </c>
      <c r="N38" s="115" t="n">
        <f aca="false">(N11-N37)</f>
        <v>10000</v>
      </c>
      <c r="O38" s="116"/>
    </row>
    <row r="39" customFormat="false" ht="16.5" hidden="false" customHeight="true" outlineLevel="0" collapsed="false">
      <c r="A39" s="107" t="s">
        <v>225</v>
      </c>
    </row>
    <row r="40" customFormat="false" ht="32.25" hidden="false" customHeight="true" outlineLevel="0" collapsed="false">
      <c r="A40" s="136" t="s">
        <v>226</v>
      </c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16"/>
    </row>
    <row r="41" customFormat="false" ht="16.5" hidden="false" customHeight="true" outlineLevel="0" collapsed="false">
      <c r="A41" s="138" t="s">
        <v>227</v>
      </c>
      <c r="B41" s="139"/>
      <c r="C41" s="139" t="n">
        <f aca="false">C7</f>
        <v>0</v>
      </c>
      <c r="D41" s="139" t="n">
        <f aca="false">D7</f>
        <v>2920</v>
      </c>
      <c r="E41" s="139" t="n">
        <f aca="false">E7</f>
        <v>2920</v>
      </c>
      <c r="F41" s="139" t="n">
        <f aca="false">F7</f>
        <v>2920</v>
      </c>
      <c r="G41" s="139" t="n">
        <f aca="false">G7</f>
        <v>2920</v>
      </c>
      <c r="H41" s="139" t="n">
        <f aca="false">H7</f>
        <v>2500</v>
      </c>
      <c r="I41" s="139" t="n">
        <f aca="false">I7</f>
        <v>10785</v>
      </c>
      <c r="J41" s="139" t="n">
        <f aca="false">J7</f>
        <v>5785</v>
      </c>
      <c r="K41" s="139" t="n">
        <f aca="false">K7</f>
        <v>12975</v>
      </c>
      <c r="L41" s="139" t="n">
        <f aca="false">L7</f>
        <v>7975</v>
      </c>
      <c r="M41" s="139" t="n">
        <f aca="false">M7</f>
        <v>10475</v>
      </c>
      <c r="N41" s="139" t="n">
        <f aca="false">N7</f>
        <v>7190</v>
      </c>
      <c r="O41" s="139"/>
    </row>
    <row r="42" customFormat="false" ht="15.75" hidden="false" customHeight="false" outlineLevel="0" collapsed="false">
      <c r="A42" s="122" t="s">
        <v>228</v>
      </c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</row>
    <row r="43" customFormat="false" ht="15.75" hidden="false" customHeight="false" outlineLevel="0" collapsed="false">
      <c r="A43" s="122" t="s">
        <v>229</v>
      </c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</row>
    <row r="44" customFormat="false" ht="15.75" hidden="false" customHeight="false" outlineLevel="0" collapsed="false">
      <c r="A44" s="122" t="s">
        <v>230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</row>
    <row r="45" customFormat="false" ht="15.75" hidden="false" customHeight="false" outlineLevel="0" collapsed="false">
      <c r="A45" s="122" t="s">
        <v>231</v>
      </c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</row>
    <row r="46" customFormat="false" ht="15.75" hidden="false" customHeight="false" outlineLevel="0" collapsed="false">
      <c r="A46" s="122" t="s">
        <v>232</v>
      </c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</row>
    <row r="47" customFormat="false" ht="15.75" hidden="false" customHeight="false" outlineLevel="0" collapsed="false">
      <c r="A47" s="3" t="s">
        <v>233</v>
      </c>
      <c r="C47" s="10" t="n">
        <f aca="false">Assumptions!$B$43</f>
        <v>5000</v>
      </c>
      <c r="D47" s="10" t="n">
        <f aca="false">Assumptions!$B$43</f>
        <v>5000</v>
      </c>
      <c r="E47" s="10" t="n">
        <f aca="false">Assumptions!$B$43</f>
        <v>5000</v>
      </c>
      <c r="F47" s="10" t="n">
        <f aca="false">Assumptions!$B$43</f>
        <v>5000</v>
      </c>
      <c r="G47" s="10" t="n">
        <f aca="false">Assumptions!$B$43</f>
        <v>5000</v>
      </c>
      <c r="H47" s="10" t="n">
        <f aca="false">Assumptions!$B$43</f>
        <v>5000</v>
      </c>
      <c r="I47" s="10" t="n">
        <f aca="false">Assumptions!$B$43</f>
        <v>5000</v>
      </c>
      <c r="J47" s="10" t="n">
        <f aca="false">Assumptions!$B$43</f>
        <v>5000</v>
      </c>
      <c r="K47" s="10" t="n">
        <f aca="false">Assumptions!$B$43</f>
        <v>5000</v>
      </c>
      <c r="L47" s="10" t="n">
        <f aca="false">Assumptions!$B$43</f>
        <v>5000</v>
      </c>
      <c r="M47" s="10" t="n">
        <f aca="false">Assumptions!$B$43</f>
        <v>5000</v>
      </c>
      <c r="N47" s="10" t="n">
        <f aca="false">Assumptions!$B$43</f>
        <v>5000</v>
      </c>
    </row>
    <row r="48" customFormat="false" ht="15.75" hidden="false" customHeight="false" outlineLevel="0" collapsed="false">
      <c r="A48" s="3" t="s">
        <v>234</v>
      </c>
      <c r="C48" s="10" t="n">
        <f aca="false">0+C47-C36</f>
        <v>5000</v>
      </c>
      <c r="D48" s="10" t="n">
        <f aca="false">C48+D47-D36</f>
        <v>10000</v>
      </c>
      <c r="E48" s="10" t="n">
        <f aca="false">D48+E47-E36</f>
        <v>15000</v>
      </c>
      <c r="F48" s="10" t="n">
        <f aca="false">E48+F47-F36</f>
        <v>20000</v>
      </c>
      <c r="G48" s="10" t="n">
        <f aca="false">F48+G47-G36</f>
        <v>25000</v>
      </c>
      <c r="H48" s="10" t="n">
        <f aca="false">G48+H47-H36</f>
        <v>30000</v>
      </c>
      <c r="I48" s="10" t="n">
        <f aca="false">H48+I47-I36</f>
        <v>35000</v>
      </c>
      <c r="J48" s="10" t="n">
        <f aca="false">I48+J47-J36</f>
        <v>40000</v>
      </c>
      <c r="K48" s="10" t="n">
        <f aca="false">J48+K47-K36</f>
        <v>41104.2260360212</v>
      </c>
      <c r="L48" s="10" t="n">
        <f aca="false">K48+L47-L36</f>
        <v>45312.5567066902</v>
      </c>
      <c r="M48" s="10" t="n">
        <f aca="false">L48+M47-M36</f>
        <v>48338.3873773593</v>
      </c>
      <c r="N48" s="10" t="n">
        <f aca="false">M48+N47-N36</f>
        <v>52599.9430480283</v>
      </c>
    </row>
  </sheetData>
  <mergeCells count="1">
    <mergeCell ref="A1:O1"/>
  </mergeCells>
  <conditionalFormatting sqref="C4:N4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S29" activeCellId="0" sqref="S29"/>
    </sheetView>
  </sheetViews>
  <sheetFormatPr defaultColWidth="9.1484375" defaultRowHeight="15" zeroHeight="false" outlineLevelRow="0" outlineLevelCol="0"/>
  <cols>
    <col collapsed="false" customWidth="true" hidden="false" outlineLevel="0" max="1" min="1" style="24" width="26.71"/>
    <col collapsed="false" customWidth="true" hidden="false" outlineLevel="0" max="13" min="2" style="24" width="7.42"/>
    <col collapsed="false" customWidth="false" hidden="false" outlineLevel="0" max="14" min="14" style="24" width="9.14"/>
    <col collapsed="false" customWidth="true" hidden="false" outlineLevel="0" max="15" min="15" style="24" width="64.71"/>
    <col collapsed="false" customWidth="true" hidden="false" outlineLevel="0" max="16" min="16" style="24" width="7.71"/>
    <col collapsed="false" customWidth="true" hidden="false" outlineLevel="0" max="17" min="17" style="24" width="13.42"/>
    <col collapsed="false" customWidth="true" hidden="false" outlineLevel="0" max="18" min="18" style="24" width="14.71"/>
    <col collapsed="false" customWidth="false" hidden="false" outlineLevel="0" max="16384" min="19" style="24" width="9.14"/>
  </cols>
  <sheetData>
    <row r="1" customFormat="false" ht="15.75" hidden="false" customHeight="true" outlineLevel="0" collapsed="false">
      <c r="A1" s="25" t="s">
        <v>99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  <c r="O1" s="24" t="s">
        <v>235</v>
      </c>
      <c r="P1" s="5" t="n">
        <v>0.03</v>
      </c>
      <c r="Q1" s="24" t="s">
        <v>236</v>
      </c>
    </row>
    <row r="2" customFormat="false" ht="15" hidden="false" customHeight="false" outlineLevel="0" collapsed="false">
      <c r="A2" s="28" t="n">
        <f aca="false">'1st Year Projections'!N4</f>
        <v>46753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9"/>
    </row>
    <row r="3" customFormat="false" ht="78" hidden="false" customHeight="true" outlineLevel="0" collapsed="false">
      <c r="A3" s="30"/>
      <c r="B3" s="31" t="s">
        <v>237</v>
      </c>
      <c r="C3" s="31" t="s">
        <v>238</v>
      </c>
      <c r="D3" s="31" t="s">
        <v>239</v>
      </c>
      <c r="E3" s="31" t="s">
        <v>240</v>
      </c>
      <c r="F3" s="31" t="s">
        <v>241</v>
      </c>
      <c r="G3" s="31" t="s">
        <v>242</v>
      </c>
      <c r="H3" s="31" t="s">
        <v>243</v>
      </c>
      <c r="I3" s="31" t="s">
        <v>244</v>
      </c>
      <c r="J3" s="31" t="s">
        <v>245</v>
      </c>
      <c r="K3" s="31" t="s">
        <v>246</v>
      </c>
      <c r="L3" s="31" t="s">
        <v>247</v>
      </c>
      <c r="M3" s="31" t="s">
        <v>248</v>
      </c>
      <c r="N3" s="32" t="s">
        <v>115</v>
      </c>
      <c r="O3" s="33"/>
      <c r="P3" s="34" t="s">
        <v>116</v>
      </c>
      <c r="Q3" s="33"/>
    </row>
    <row r="4" customFormat="false" ht="15.75" hidden="false" customHeight="true" outlineLevel="0" collapsed="false">
      <c r="A4" s="35" t="s">
        <v>117</v>
      </c>
      <c r="B4" s="36" t="n">
        <f aca="false">A2</f>
        <v>46753</v>
      </c>
      <c r="C4" s="37" t="n">
        <f aca="false">DATE(YEAR(B4),MONTH(B4)+1,1)</f>
        <v>46784</v>
      </c>
      <c r="D4" s="37" t="n">
        <f aca="false">DATE(YEAR(C4),MONTH(C4)+1,1)</f>
        <v>46813</v>
      </c>
      <c r="E4" s="37" t="n">
        <f aca="false">DATE(YEAR(D4),MONTH(D4)+1,1)</f>
        <v>46844</v>
      </c>
      <c r="F4" s="37" t="n">
        <f aca="false">DATE(YEAR(E4),MONTH(E4)+1,1)</f>
        <v>46874</v>
      </c>
      <c r="G4" s="37" t="n">
        <f aca="false">DATE(YEAR(F4),MONTH(F4)+1,1)</f>
        <v>46905</v>
      </c>
      <c r="H4" s="37" t="n">
        <f aca="false">DATE(YEAR(G4),MONTH(G4)+1,1)</f>
        <v>46935</v>
      </c>
      <c r="I4" s="37" t="n">
        <f aca="false">DATE(YEAR(H4),MONTH(H4)+1,1)</f>
        <v>46966</v>
      </c>
      <c r="J4" s="37" t="n">
        <f aca="false">DATE(YEAR(I4),MONTH(I4)+1,1)</f>
        <v>46997</v>
      </c>
      <c r="K4" s="37" t="n">
        <f aca="false">DATE(YEAR(J4),MONTH(J4)+1,1)</f>
        <v>47027</v>
      </c>
      <c r="L4" s="37" t="n">
        <f aca="false">DATE(YEAR(K4),MONTH(K4)+1,1)</f>
        <v>47058</v>
      </c>
      <c r="M4" s="37" t="n">
        <f aca="false">DATE(YEAR(L4),MONTH(L4)+1,1)</f>
        <v>47088</v>
      </c>
      <c r="N4" s="38" t="n">
        <f aca="false">DATE(YEAR(M4),MONTH(M4)+1,1)</f>
        <v>47119</v>
      </c>
      <c r="O4" s="39" t="s">
        <v>118</v>
      </c>
    </row>
    <row r="5" customFormat="false" ht="15.75" hidden="false" customHeight="true" outlineLevel="0" collapsed="false">
      <c r="A5" s="40" t="str">
        <f aca="false">'1st Year Projections'!A5</f>
        <v>Gathering tickets &amp; Season Passes</v>
      </c>
      <c r="B5" s="41" t="n">
        <f aca="false">Assumptions!N32</f>
        <v>6205</v>
      </c>
      <c r="C5" s="41" t="n">
        <f aca="false">Assumptions!O32</f>
        <v>6205</v>
      </c>
      <c r="D5" s="41" t="n">
        <f aca="false">Assumptions!P32</f>
        <v>6205</v>
      </c>
      <c r="E5" s="41" t="n">
        <f aca="false">Assumptions!Q32</f>
        <v>6205</v>
      </c>
      <c r="F5" s="41" t="n">
        <f aca="false">Assumptions!R32</f>
        <v>6205</v>
      </c>
      <c r="G5" s="41" t="n">
        <f aca="false">Assumptions!S32</f>
        <v>0</v>
      </c>
      <c r="H5" s="41" t="n">
        <f aca="false">Assumptions!T32</f>
        <v>8395</v>
      </c>
      <c r="I5" s="41" t="n">
        <f aca="false">Assumptions!U32</f>
        <v>8395</v>
      </c>
      <c r="J5" s="41" t="n">
        <f aca="false">Assumptions!V32</f>
        <v>8395</v>
      </c>
      <c r="K5" s="41" t="n">
        <f aca="false">Assumptions!W32</f>
        <v>8395</v>
      </c>
      <c r="L5" s="41" t="n">
        <f aca="false">Assumptions!X32</f>
        <v>8395</v>
      </c>
      <c r="M5" s="41" t="n">
        <f aca="false">Assumptions!Y32</f>
        <v>0</v>
      </c>
      <c r="N5" s="42" t="n">
        <f aca="false">SUM(B5:M5)</f>
        <v>73000</v>
      </c>
      <c r="O5" s="43" t="s">
        <v>249</v>
      </c>
    </row>
    <row r="6" customFormat="false" ht="15.75" hidden="false" customHeight="true" outlineLevel="0" collapsed="false">
      <c r="A6" s="40" t="str">
        <f aca="false">'1st Year Projections'!A6</f>
        <v>Corporate private runs</v>
      </c>
      <c r="B6" s="41" t="n">
        <f aca="false">Assumptions!N33</f>
        <v>5000</v>
      </c>
      <c r="C6" s="41" t="n">
        <f aca="false">Assumptions!O33</f>
        <v>5000</v>
      </c>
      <c r="D6" s="41" t="n">
        <f aca="false">Assumptions!P33</f>
        <v>5000</v>
      </c>
      <c r="E6" s="41" t="n">
        <f aca="false">Assumptions!Q33</f>
        <v>5000</v>
      </c>
      <c r="F6" s="41" t="n">
        <f aca="false">Assumptions!R33</f>
        <v>5000</v>
      </c>
      <c r="G6" s="41" t="n">
        <f aca="false">Assumptions!S33</f>
        <v>5000</v>
      </c>
      <c r="H6" s="41" t="n">
        <f aca="false">Assumptions!T33</f>
        <v>5000</v>
      </c>
      <c r="I6" s="41" t="n">
        <f aca="false">Assumptions!U33</f>
        <v>5000</v>
      </c>
      <c r="J6" s="41" t="n">
        <f aca="false">Assumptions!V33</f>
        <v>5000</v>
      </c>
      <c r="K6" s="41" t="n">
        <f aca="false">Assumptions!W33</f>
        <v>5000</v>
      </c>
      <c r="L6" s="41" t="n">
        <f aca="false">Assumptions!X33</f>
        <v>5000</v>
      </c>
      <c r="M6" s="41" t="n">
        <f aca="false">Assumptions!Y33</f>
        <v>5000</v>
      </c>
      <c r="N6" s="42" t="n">
        <f aca="false">SUM(B6:M6)</f>
        <v>60000</v>
      </c>
      <c r="O6" s="43" t="s">
        <v>250</v>
      </c>
    </row>
    <row r="7" customFormat="false" ht="15.75" hidden="false" customHeight="true" outlineLevel="0" collapsed="false">
      <c r="A7" s="44" t="str">
        <f aca="false">'1st Year Projections'!A7</f>
        <v>Sponsorships</v>
      </c>
      <c r="B7" s="45" t="n">
        <f aca="false">Assumptions!N34</f>
        <v>5000</v>
      </c>
      <c r="C7" s="45" t="n">
        <f aca="false">Assumptions!O34</f>
        <v>0</v>
      </c>
      <c r="D7" s="41" t="n">
        <f aca="false">Assumptions!P34</f>
        <v>5000</v>
      </c>
      <c r="E7" s="45" t="n">
        <f aca="false">Assumptions!Q34</f>
        <v>0</v>
      </c>
      <c r="F7" s="45" t="n">
        <f aca="false">Assumptions!R34</f>
        <v>0</v>
      </c>
      <c r="G7" s="45" t="n">
        <f aca="false">Assumptions!S34</f>
        <v>0</v>
      </c>
      <c r="H7" s="45" t="n">
        <f aca="false">Assumptions!T34</f>
        <v>10000</v>
      </c>
      <c r="I7" s="45" t="n">
        <f aca="false">Assumptions!U34</f>
        <v>10000</v>
      </c>
      <c r="J7" s="45" t="n">
        <f aca="false">Assumptions!V34</f>
        <v>5000</v>
      </c>
      <c r="K7" s="45" t="n">
        <f aca="false">Assumptions!W34</f>
        <v>0</v>
      </c>
      <c r="L7" s="45" t="n">
        <f aca="false">Assumptions!X34</f>
        <v>0</v>
      </c>
      <c r="M7" s="45" t="n">
        <f aca="false">Assumptions!Y34</f>
        <v>0</v>
      </c>
      <c r="N7" s="42" t="n">
        <f aca="false">SUM(B7:M7)</f>
        <v>35000</v>
      </c>
      <c r="O7" s="43" t="s">
        <v>251</v>
      </c>
    </row>
    <row r="8" customFormat="false" ht="0.75" hidden="false" customHeight="true" outlineLevel="0" collapsed="false">
      <c r="A8" s="46" t="str">
        <f aca="false">'1st Year Projections'!A8</f>
        <v>Flagship &amp; Vanguard membership</v>
      </c>
      <c r="B8" s="47" t="n">
        <f aca="false">Assumptions!N35</f>
        <v>5400</v>
      </c>
      <c r="C8" s="47" t="n">
        <f aca="false">Assumptions!O35</f>
        <v>1800</v>
      </c>
      <c r="D8" s="48" t="n">
        <f aca="false">Assumptions!P35</f>
        <v>1800</v>
      </c>
      <c r="E8" s="47" t="n">
        <f aca="false">Assumptions!Q35</f>
        <v>1080</v>
      </c>
      <c r="F8" s="47" t="n">
        <f aca="false">Assumptions!R35</f>
        <v>1080</v>
      </c>
      <c r="G8" s="47" t="n">
        <f aca="false">Assumptions!S35</f>
        <v>1080</v>
      </c>
      <c r="H8" s="47" t="n">
        <f aca="false">Assumptions!T35</f>
        <v>1080</v>
      </c>
      <c r="I8" s="47" t="n">
        <f aca="false">Assumptions!U35</f>
        <v>1080</v>
      </c>
      <c r="J8" s="47" t="n">
        <f aca="false">Assumptions!V35</f>
        <v>44580</v>
      </c>
      <c r="K8" s="47" t="n">
        <f aca="false">Assumptions!W35</f>
        <v>1080</v>
      </c>
      <c r="L8" s="47" t="n">
        <f aca="false">Assumptions!X35</f>
        <v>1080</v>
      </c>
      <c r="M8" s="47" t="n">
        <f aca="false">Assumptions!Y35</f>
        <v>1080</v>
      </c>
      <c r="N8" s="42" t="n">
        <f aca="false">SUM(B8:M8)</f>
        <v>62220</v>
      </c>
      <c r="O8" s="43" t="s">
        <v>252</v>
      </c>
    </row>
    <row r="9" customFormat="false" ht="15.75" hidden="false" customHeight="true" outlineLevel="0" collapsed="false">
      <c r="A9" s="49" t="s">
        <v>123</v>
      </c>
      <c r="B9" s="50" t="n">
        <f aca="false">SUM(B5:B8)</f>
        <v>21605</v>
      </c>
      <c r="C9" s="50" t="n">
        <f aca="false">SUM(C5:C8)</f>
        <v>13005</v>
      </c>
      <c r="D9" s="50" t="n">
        <f aca="false">SUM(D5:D8)</f>
        <v>18005</v>
      </c>
      <c r="E9" s="50" t="n">
        <f aca="false">SUM(E5:E8)</f>
        <v>12285</v>
      </c>
      <c r="F9" s="50" t="n">
        <f aca="false">SUM(F5:F8)</f>
        <v>12285</v>
      </c>
      <c r="G9" s="50" t="n">
        <f aca="false">SUM(G5:G8)</f>
        <v>6080</v>
      </c>
      <c r="H9" s="50" t="n">
        <f aca="false">SUM(H5:H8)</f>
        <v>24475</v>
      </c>
      <c r="I9" s="50" t="n">
        <f aca="false">SUM(I5:I8)</f>
        <v>24475</v>
      </c>
      <c r="J9" s="50" t="n">
        <f aca="false">SUM(J5:J8)</f>
        <v>62975</v>
      </c>
      <c r="K9" s="50" t="n">
        <f aca="false">SUM(K5:K8)</f>
        <v>14475</v>
      </c>
      <c r="L9" s="50" t="n">
        <f aca="false">SUM(L5:L8)</f>
        <v>14475</v>
      </c>
      <c r="M9" s="50" t="n">
        <f aca="false">SUM(M5:M8)</f>
        <v>6080</v>
      </c>
      <c r="N9" s="42" t="n">
        <f aca="false">SUM(B9:M9)</f>
        <v>230220</v>
      </c>
      <c r="O9" s="21"/>
    </row>
    <row r="10" customFormat="false" ht="15.75" hidden="false" customHeight="true" outlineLevel="0" collapsed="false">
      <c r="A10" s="51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3"/>
      <c r="O10" s="54"/>
    </row>
    <row r="11" customFormat="false" ht="15.75" hidden="false" customHeight="true" outlineLevel="0" collapsed="false">
      <c r="A11" s="35" t="s">
        <v>124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6"/>
    </row>
    <row r="12" customFormat="false" ht="15.75" hidden="false" customHeight="true" outlineLevel="0" collapsed="false">
      <c r="A12" s="40" t="str">
        <f aca="false">'1st Year Projections'!A12</f>
        <v>Gathering tickets &amp; Season Passes (direct costs)</v>
      </c>
      <c r="B12" s="41" t="n">
        <f aca="false">Assumptions!N37</f>
        <v>3400</v>
      </c>
      <c r="C12" s="41" t="n">
        <f aca="false">Assumptions!O37</f>
        <v>3400</v>
      </c>
      <c r="D12" s="41" t="n">
        <f aca="false">Assumptions!P37</f>
        <v>3400</v>
      </c>
      <c r="E12" s="41" t="n">
        <f aca="false">Assumptions!Q37</f>
        <v>3400</v>
      </c>
      <c r="F12" s="41" t="n">
        <f aca="false">Assumptions!R37</f>
        <v>3400</v>
      </c>
      <c r="G12" s="41" t="n">
        <f aca="false">Assumptions!S37</f>
        <v>0</v>
      </c>
      <c r="H12" s="41" t="n">
        <f aca="false">Assumptions!T37</f>
        <v>4600</v>
      </c>
      <c r="I12" s="41" t="n">
        <f aca="false">Assumptions!U37</f>
        <v>4600</v>
      </c>
      <c r="J12" s="41" t="n">
        <f aca="false">Assumptions!V37</f>
        <v>4600</v>
      </c>
      <c r="K12" s="41" t="n">
        <f aca="false">Assumptions!W37</f>
        <v>4600</v>
      </c>
      <c r="L12" s="41" t="n">
        <f aca="false">Assumptions!X37</f>
        <v>4600</v>
      </c>
      <c r="M12" s="41" t="n">
        <f aca="false">Assumptions!Y37</f>
        <v>0</v>
      </c>
      <c r="N12" s="42" t="n">
        <f aca="false">SUM(B12:M12)</f>
        <v>40000</v>
      </c>
      <c r="O12" s="43"/>
      <c r="P12" s="57" t="n">
        <f aca="false">IFERROR(N12/N5,"")</f>
        <v>0.547945205479452</v>
      </c>
    </row>
    <row r="13" customFormat="false" ht="15.75" hidden="false" customHeight="true" outlineLevel="0" collapsed="false">
      <c r="A13" s="40" t="str">
        <f aca="false">'1st Year Projections'!A13</f>
        <v>Corporate private runs (direct costs)</v>
      </c>
      <c r="B13" s="41" t="n">
        <f aca="false">Assumptions!N38</f>
        <v>2560</v>
      </c>
      <c r="C13" s="41" t="n">
        <f aca="false">Assumptions!O38</f>
        <v>2560</v>
      </c>
      <c r="D13" s="41" t="n">
        <f aca="false">Assumptions!P38</f>
        <v>2560</v>
      </c>
      <c r="E13" s="41" t="n">
        <f aca="false">Assumptions!Q38</f>
        <v>2560</v>
      </c>
      <c r="F13" s="41" t="n">
        <f aca="false">Assumptions!R38</f>
        <v>2560</v>
      </c>
      <c r="G13" s="41" t="n">
        <f aca="false">Assumptions!S38</f>
        <v>2560</v>
      </c>
      <c r="H13" s="41" t="n">
        <f aca="false">Assumptions!T38</f>
        <v>2560</v>
      </c>
      <c r="I13" s="41" t="n">
        <f aca="false">Assumptions!U38</f>
        <v>2560</v>
      </c>
      <c r="J13" s="41" t="n">
        <f aca="false">Assumptions!V38</f>
        <v>2560</v>
      </c>
      <c r="K13" s="41" t="n">
        <f aca="false">Assumptions!W38</f>
        <v>2560</v>
      </c>
      <c r="L13" s="41" t="n">
        <f aca="false">Assumptions!X38</f>
        <v>2560</v>
      </c>
      <c r="M13" s="41" t="n">
        <f aca="false">Assumptions!Y38</f>
        <v>2560</v>
      </c>
      <c r="N13" s="42" t="n">
        <f aca="false">SUM(B13:M13)</f>
        <v>30720</v>
      </c>
      <c r="O13" s="43"/>
      <c r="P13" s="57" t="n">
        <f aca="false">IFERROR(N13/N6,"")</f>
        <v>0.512</v>
      </c>
    </row>
    <row r="14" customFormat="false" ht="15.75" hidden="false" customHeight="true" outlineLevel="0" collapsed="false">
      <c r="A14" s="44" t="str">
        <f aca="false">'1st Year Projections'!A14</f>
        <v>Sponsorships (direct costs)</v>
      </c>
      <c r="B14" s="45" t="n">
        <f aca="false">Assumptions!N39</f>
        <v>500</v>
      </c>
      <c r="C14" s="45" t="n">
        <f aca="false">Assumptions!O39</f>
        <v>0</v>
      </c>
      <c r="D14" s="45" t="n">
        <f aca="false">Assumptions!P39</f>
        <v>500</v>
      </c>
      <c r="E14" s="45" t="n">
        <f aca="false">Assumptions!Q39</f>
        <v>0</v>
      </c>
      <c r="F14" s="45" t="n">
        <f aca="false">Assumptions!R39</f>
        <v>0</v>
      </c>
      <c r="G14" s="45" t="n">
        <f aca="false">Assumptions!S39</f>
        <v>0</v>
      </c>
      <c r="H14" s="45" t="n">
        <f aca="false">Assumptions!T39</f>
        <v>1000</v>
      </c>
      <c r="I14" s="45" t="n">
        <f aca="false">Assumptions!U39</f>
        <v>1000</v>
      </c>
      <c r="J14" s="45" t="n">
        <f aca="false">Assumptions!V39</f>
        <v>500</v>
      </c>
      <c r="K14" s="45" t="n">
        <f aca="false">Assumptions!W39</f>
        <v>0</v>
      </c>
      <c r="L14" s="45" t="n">
        <f aca="false">Assumptions!X39</f>
        <v>0</v>
      </c>
      <c r="M14" s="45" t="n">
        <f aca="false">Assumptions!Y39</f>
        <v>0</v>
      </c>
      <c r="N14" s="42" t="n">
        <f aca="false">SUM(B14:M14)</f>
        <v>3500</v>
      </c>
      <c r="O14" s="43"/>
      <c r="P14" s="57" t="n">
        <f aca="false">IFERROR(N14/N7,"")</f>
        <v>0.1</v>
      </c>
    </row>
    <row r="15" customFormat="false" ht="0.75" hidden="false" customHeight="true" outlineLevel="0" collapsed="false">
      <c r="A15" s="46" t="str">
        <f aca="false">'1st Year Projections'!A15</f>
        <v>Flagship &amp; Vanguard membership (direct costs)</v>
      </c>
      <c r="B15" s="47" t="n">
        <f aca="false">Assumptions!N40</f>
        <v>3375</v>
      </c>
      <c r="C15" s="47" t="n">
        <f aca="false">Assumptions!O40</f>
        <v>1125</v>
      </c>
      <c r="D15" s="47" t="n">
        <f aca="false">Assumptions!P40</f>
        <v>1125</v>
      </c>
      <c r="E15" s="47" t="n">
        <f aca="false">Assumptions!Q40</f>
        <v>675</v>
      </c>
      <c r="F15" s="47" t="n">
        <f aca="false">Assumptions!R40</f>
        <v>675</v>
      </c>
      <c r="G15" s="47" t="n">
        <f aca="false">Assumptions!S40</f>
        <v>675</v>
      </c>
      <c r="H15" s="47" t="n">
        <f aca="false">Assumptions!T40</f>
        <v>675</v>
      </c>
      <c r="I15" s="47" t="n">
        <f aca="false">Assumptions!U40</f>
        <v>675</v>
      </c>
      <c r="J15" s="47" t="n">
        <f aca="false">Assumptions!V40</f>
        <v>33375</v>
      </c>
      <c r="K15" s="47" t="n">
        <f aca="false">Assumptions!W40</f>
        <v>675</v>
      </c>
      <c r="L15" s="47" t="n">
        <f aca="false">Assumptions!X40</f>
        <v>675</v>
      </c>
      <c r="M15" s="47" t="n">
        <f aca="false">Assumptions!Y40</f>
        <v>675</v>
      </c>
      <c r="N15" s="42" t="n">
        <f aca="false">SUM(B15:M15)</f>
        <v>44400</v>
      </c>
      <c r="O15" s="43"/>
      <c r="P15" s="57" t="n">
        <f aca="false">IFERROR(N15/N8,"")</f>
        <v>0.713596914175506</v>
      </c>
    </row>
    <row r="16" customFormat="false" ht="15.75" hidden="false" customHeight="true" outlineLevel="0" collapsed="false">
      <c r="A16" s="58" t="s">
        <v>133</v>
      </c>
      <c r="B16" s="59" t="n">
        <f aca="false">SUM(B12:B15)</f>
        <v>9835</v>
      </c>
      <c r="C16" s="59" t="n">
        <f aca="false">SUM(C12:C15)</f>
        <v>7085</v>
      </c>
      <c r="D16" s="59" t="n">
        <f aca="false">SUM(D12:D15)</f>
        <v>7585</v>
      </c>
      <c r="E16" s="59" t="n">
        <f aca="false">SUM(E12:E15)</f>
        <v>6635</v>
      </c>
      <c r="F16" s="59" t="n">
        <f aca="false">SUM(F12:F15)</f>
        <v>6635</v>
      </c>
      <c r="G16" s="59" t="n">
        <f aca="false">SUM(G12:G15)</f>
        <v>3235</v>
      </c>
      <c r="H16" s="59" t="n">
        <f aca="false">SUM(H12:H15)</f>
        <v>8835</v>
      </c>
      <c r="I16" s="59" t="n">
        <f aca="false">SUM(I12:I15)</f>
        <v>8835</v>
      </c>
      <c r="J16" s="59" t="n">
        <f aca="false">SUM(J12:J15)</f>
        <v>41035</v>
      </c>
      <c r="K16" s="59" t="n">
        <f aca="false">SUM(K12:K15)</f>
        <v>7835</v>
      </c>
      <c r="L16" s="59" t="n">
        <f aca="false">SUM(L12:L15)</f>
        <v>7835</v>
      </c>
      <c r="M16" s="59" t="n">
        <f aca="false">SUM(M12:M15)</f>
        <v>3235</v>
      </c>
      <c r="N16" s="60" t="n">
        <f aca="false">SUM(B16:M16)</f>
        <v>118620</v>
      </c>
      <c r="O16" s="56"/>
      <c r="P16" s="61" t="n">
        <f aca="false">IFERROR(N16/N9, "")</f>
        <v>0.515246286161063</v>
      </c>
    </row>
    <row r="17" customFormat="false" ht="15.75" hidden="false" customHeight="true" outlineLevel="0" collapsed="false">
      <c r="A17" s="51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4"/>
    </row>
    <row r="18" customFormat="false" ht="15.75" hidden="false" customHeight="true" outlineLevel="0" collapsed="false">
      <c r="A18" s="62" t="s">
        <v>134</v>
      </c>
      <c r="B18" s="63" t="n">
        <f aca="false">B9-B16</f>
        <v>11770</v>
      </c>
      <c r="C18" s="63" t="n">
        <f aca="false">C9-C16</f>
        <v>5920</v>
      </c>
      <c r="D18" s="63" t="n">
        <f aca="false">D9-D16</f>
        <v>10420</v>
      </c>
      <c r="E18" s="63" t="n">
        <f aca="false">E9-E16</f>
        <v>5650</v>
      </c>
      <c r="F18" s="63" t="n">
        <f aca="false">F9-F16</f>
        <v>5650</v>
      </c>
      <c r="G18" s="63" t="n">
        <f aca="false">G9-G16</f>
        <v>2845</v>
      </c>
      <c r="H18" s="63" t="n">
        <f aca="false">H9-H16</f>
        <v>15640</v>
      </c>
      <c r="I18" s="63" t="n">
        <f aca="false">I9-I16</f>
        <v>15640</v>
      </c>
      <c r="J18" s="63" t="n">
        <f aca="false">J9-J16</f>
        <v>21940</v>
      </c>
      <c r="K18" s="63" t="n">
        <f aca="false">K9-K16</f>
        <v>6640</v>
      </c>
      <c r="L18" s="63" t="n">
        <f aca="false">L9-L16</f>
        <v>6640</v>
      </c>
      <c r="M18" s="63" t="n">
        <f aca="false">M9-M16</f>
        <v>2845</v>
      </c>
      <c r="N18" s="63" t="n">
        <f aca="false">N9-N16</f>
        <v>111600</v>
      </c>
      <c r="O18" s="56"/>
      <c r="P18" s="61"/>
    </row>
    <row r="19" customFormat="false" ht="15.75" hidden="false" customHeight="true" outlineLevel="0" collapsed="false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3"/>
      <c r="O19" s="54"/>
    </row>
    <row r="20" customFormat="false" ht="15.75" hidden="false" customHeight="true" outlineLevel="0" collapsed="false">
      <c r="A20" s="35" t="s">
        <v>135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</row>
    <row r="21" customFormat="false" ht="15.75" hidden="false" customHeight="true" outlineLevel="0" collapsed="false">
      <c r="A21" s="40" t="str">
        <f aca="false">'1st Year Projections'!A21</f>
        <v>Marketing </v>
      </c>
      <c r="B21" s="64" t="n">
        <v>1500</v>
      </c>
      <c r="C21" s="64" t="n">
        <v>1500</v>
      </c>
      <c r="D21" s="64" t="n">
        <v>1500</v>
      </c>
      <c r="E21" s="64" t="n">
        <v>1500</v>
      </c>
      <c r="F21" s="64" t="n">
        <v>1500</v>
      </c>
      <c r="G21" s="64" t="n">
        <v>1500</v>
      </c>
      <c r="H21" s="64" t="n">
        <v>1500</v>
      </c>
      <c r="I21" s="64" t="n">
        <v>1500</v>
      </c>
      <c r="J21" s="64" t="n">
        <v>1500</v>
      </c>
      <c r="K21" s="64" t="n">
        <v>1500</v>
      </c>
      <c r="L21" s="64" t="n">
        <v>1500</v>
      </c>
      <c r="M21" s="64" t="n">
        <v>1500</v>
      </c>
      <c r="N21" s="42" t="n">
        <f aca="false">SUM(B21:M21)</f>
        <v>18000</v>
      </c>
      <c r="O21" s="65" t="s">
        <v>253</v>
      </c>
      <c r="P21" s="61"/>
    </row>
    <row r="22" customFormat="false" ht="15.75" hidden="false" customHeight="true" outlineLevel="0" collapsed="false">
      <c r="A22" s="44" t="str">
        <f aca="false">'1st Year Projections'!A22</f>
        <v>Bank Charges </v>
      </c>
      <c r="B22" s="41" t="n">
        <f aca="false">'1st Year Projections'!B22*(1+$P$1)</f>
        <v>20.6</v>
      </c>
      <c r="C22" s="41" t="n">
        <f aca="false">'1st Year Projections'!C22*(1+$P$1)</f>
        <v>20.6</v>
      </c>
      <c r="D22" s="41" t="n">
        <f aca="false">'1st Year Projections'!D22*(1+$P$1)</f>
        <v>20.6</v>
      </c>
      <c r="E22" s="41" t="n">
        <f aca="false">'1st Year Projections'!E22*(1+$P$1)</f>
        <v>20.6</v>
      </c>
      <c r="F22" s="41" t="n">
        <f aca="false">'1st Year Projections'!F22*(1+$P$1)</f>
        <v>20.6</v>
      </c>
      <c r="G22" s="41" t="n">
        <f aca="false">'1st Year Projections'!G22*(1+$P$1)</f>
        <v>20.6</v>
      </c>
      <c r="H22" s="41" t="n">
        <f aca="false">'1st Year Projections'!H22*(1+$P$1)</f>
        <v>20.6</v>
      </c>
      <c r="I22" s="41" t="n">
        <f aca="false">'1st Year Projections'!I22*(1+$P$1)</f>
        <v>20.6</v>
      </c>
      <c r="J22" s="41" t="n">
        <f aca="false">'1st Year Projections'!J22*(1+$P$1)</f>
        <v>20.6</v>
      </c>
      <c r="K22" s="41" t="n">
        <f aca="false">'1st Year Projections'!K22*(1+$P$1)</f>
        <v>20.6</v>
      </c>
      <c r="L22" s="41" t="n">
        <f aca="false">'1st Year Projections'!L22*(1+$P$1)</f>
        <v>20.6</v>
      </c>
      <c r="M22" s="41" t="n">
        <f aca="false">'1st Year Projections'!M22*(1+$P$1)</f>
        <v>20.6</v>
      </c>
      <c r="N22" s="42" t="n">
        <f aca="false">SUM(B22:M22)</f>
        <v>247.2</v>
      </c>
      <c r="O22" s="65" t="s">
        <v>254</v>
      </c>
      <c r="P22" s="61"/>
    </row>
    <row r="23" customFormat="false" ht="15.75" hidden="false" customHeight="true" outlineLevel="0" collapsed="false">
      <c r="A23" s="44" t="str">
        <f aca="false">'1st Year Projections'!A23</f>
        <v>Car-Truck </v>
      </c>
      <c r="B23" s="64" t="n">
        <v>200</v>
      </c>
      <c r="C23" s="64" t="n">
        <v>200</v>
      </c>
      <c r="D23" s="64" t="n">
        <v>200</v>
      </c>
      <c r="E23" s="64" t="n">
        <v>200</v>
      </c>
      <c r="F23" s="64" t="n">
        <v>200</v>
      </c>
      <c r="G23" s="64" t="n">
        <v>200</v>
      </c>
      <c r="H23" s="64" t="n">
        <v>200</v>
      </c>
      <c r="I23" s="64" t="n">
        <v>200</v>
      </c>
      <c r="J23" s="64" t="n">
        <v>200</v>
      </c>
      <c r="K23" s="64" t="n">
        <v>200</v>
      </c>
      <c r="L23" s="64" t="n">
        <v>200</v>
      </c>
      <c r="M23" s="64" t="n">
        <v>200</v>
      </c>
      <c r="N23" s="42" t="n">
        <f aca="false">SUM(B23:M23)</f>
        <v>2400</v>
      </c>
      <c r="O23" s="65" t="s">
        <v>255</v>
      </c>
      <c r="P23" s="61"/>
    </row>
    <row r="24" customFormat="false" ht="15.75" hidden="false" customHeight="true" outlineLevel="0" collapsed="false">
      <c r="A24" s="44" t="str">
        <f aca="false">'1st Year Projections'!A24</f>
        <v>Utilities </v>
      </c>
      <c r="B24" s="41" t="n">
        <f aca="false">'1st Year Projections'!B24*(1+$P$1)</f>
        <v>0</v>
      </c>
      <c r="C24" s="41" t="n">
        <f aca="false">'1st Year Projections'!C24*(1+$P$1)</f>
        <v>0</v>
      </c>
      <c r="D24" s="41" t="n">
        <f aca="false">'1st Year Projections'!D24*(1+$P$1)</f>
        <v>0</v>
      </c>
      <c r="E24" s="41" t="n">
        <f aca="false">'1st Year Projections'!E24*(1+$P$1)</f>
        <v>0</v>
      </c>
      <c r="F24" s="41" t="n">
        <f aca="false">'1st Year Projections'!F24*(1+$P$1)</f>
        <v>0</v>
      </c>
      <c r="G24" s="41" t="n">
        <f aca="false">'1st Year Projections'!G24*(1+$P$1)</f>
        <v>0</v>
      </c>
      <c r="H24" s="41" t="n">
        <f aca="false">'1st Year Projections'!H24*(1+$P$1)</f>
        <v>0</v>
      </c>
      <c r="I24" s="41" t="n">
        <f aca="false">'1st Year Projections'!I24*(1+$P$1)</f>
        <v>0</v>
      </c>
      <c r="J24" s="41" t="n">
        <f aca="false">'1st Year Projections'!J24*(1+$P$1)</f>
        <v>0</v>
      </c>
      <c r="K24" s="41" t="n">
        <f aca="false">'1st Year Projections'!K24*(1+$P$1)</f>
        <v>0</v>
      </c>
      <c r="L24" s="41" t="n">
        <f aca="false">'1st Year Projections'!L24*(1+$P$1)</f>
        <v>0</v>
      </c>
      <c r="M24" s="41" t="n">
        <f aca="false">'1st Year Projections'!M24*(1+$P$1)</f>
        <v>0</v>
      </c>
      <c r="N24" s="42" t="n">
        <f aca="false">SUM(B24:M24)</f>
        <v>0</v>
      </c>
      <c r="O24" s="65"/>
      <c r="P24" s="61"/>
    </row>
    <row r="25" customFormat="false" ht="15.75" hidden="false" customHeight="true" outlineLevel="0" collapsed="false">
      <c r="A25" s="44" t="str">
        <f aca="false">'1st Year Projections'!A25</f>
        <v>Rent/Lease</v>
      </c>
      <c r="B25" s="45" t="n">
        <f aca="false">'1st Year Projections'!B25*(1+$P$1)</f>
        <v>77.25</v>
      </c>
      <c r="C25" s="45" t="n">
        <f aca="false">'1st Year Projections'!C25*(1+$P$1)</f>
        <v>77.25</v>
      </c>
      <c r="D25" s="45" t="n">
        <f aca="false">'1st Year Projections'!D25*(1+$P$1)</f>
        <v>77.25</v>
      </c>
      <c r="E25" s="45" t="n">
        <f aca="false">'1st Year Projections'!E25*(1+$P$1)</f>
        <v>77.25</v>
      </c>
      <c r="F25" s="45" t="n">
        <f aca="false">'1st Year Projections'!F25*(1+$P$1)</f>
        <v>77.25</v>
      </c>
      <c r="G25" s="45" t="n">
        <f aca="false">'1st Year Projections'!G25*(1+$P$1)</f>
        <v>77.25</v>
      </c>
      <c r="H25" s="45" t="n">
        <f aca="false">'1st Year Projections'!H25*(1+$P$1)</f>
        <v>77.25</v>
      </c>
      <c r="I25" s="45" t="n">
        <f aca="false">'1st Year Projections'!I25*(1+$P$1)</f>
        <v>77.25</v>
      </c>
      <c r="J25" s="45" t="n">
        <f aca="false">'1st Year Projections'!J25*(1+$P$1)</f>
        <v>77.25</v>
      </c>
      <c r="K25" s="45" t="n">
        <f aca="false">'1st Year Projections'!K25*(1+$P$1)</f>
        <v>77.25</v>
      </c>
      <c r="L25" s="45" t="n">
        <f aca="false">'1st Year Projections'!L25*(1+$P$1)</f>
        <v>77.25</v>
      </c>
      <c r="M25" s="45" t="n">
        <f aca="false">'1st Year Projections'!M25*(1+$P$1)</f>
        <v>77.25</v>
      </c>
      <c r="N25" s="42" t="n">
        <f aca="false">SUM(B25:M25)</f>
        <v>927</v>
      </c>
      <c r="O25" s="65"/>
      <c r="P25" s="61"/>
    </row>
    <row r="26" customFormat="false" ht="15.75" hidden="false" customHeight="true" outlineLevel="0" collapsed="false">
      <c r="A26" s="44" t="str">
        <f aca="false">'1st Year Projections'!A26</f>
        <v>Merchant Service Fees</v>
      </c>
      <c r="B26" s="45" t="n">
        <f aca="false">B9*Assumptions!$B$17</f>
        <v>324.075</v>
      </c>
      <c r="C26" s="45" t="n">
        <f aca="false">C9*Assumptions!$B$17</f>
        <v>195.075</v>
      </c>
      <c r="D26" s="45" t="n">
        <f aca="false">D9*Assumptions!$B$17</f>
        <v>270.075</v>
      </c>
      <c r="E26" s="45" t="n">
        <f aca="false">E9*Assumptions!$B$17</f>
        <v>184.275</v>
      </c>
      <c r="F26" s="45" t="n">
        <f aca="false">F9*Assumptions!$B$17</f>
        <v>184.275</v>
      </c>
      <c r="G26" s="45" t="n">
        <f aca="false">G9*Assumptions!$B$17</f>
        <v>91.2</v>
      </c>
      <c r="H26" s="45" t="n">
        <f aca="false">H9*Assumptions!$B$17</f>
        <v>367.125</v>
      </c>
      <c r="I26" s="45" t="n">
        <f aca="false">I9*Assumptions!$B$17</f>
        <v>367.125</v>
      </c>
      <c r="J26" s="45" t="n">
        <f aca="false">J9*Assumptions!$B$17</f>
        <v>944.625</v>
      </c>
      <c r="K26" s="45" t="n">
        <f aca="false">K9*Assumptions!$B$17</f>
        <v>217.125</v>
      </c>
      <c r="L26" s="45" t="n">
        <f aca="false">L9*Assumptions!$B$17</f>
        <v>217.125</v>
      </c>
      <c r="M26" s="45" t="n">
        <f aca="false">M9*Assumptions!$B$17</f>
        <v>91.2</v>
      </c>
      <c r="N26" s="42" t="n">
        <f aca="false">SUM(B26:M26)</f>
        <v>3453.3</v>
      </c>
      <c r="O26" s="65"/>
      <c r="P26" s="61"/>
    </row>
    <row r="27" customFormat="false" ht="15.75" hidden="false" customHeight="true" outlineLevel="0" collapsed="false">
      <c r="A27" s="44" t="str">
        <f aca="false">'1st Year Projections'!A27</f>
        <v>Office &amp; Supplies </v>
      </c>
      <c r="B27" s="45" t="n">
        <f aca="false">'1st Year Projections'!B27*(1+$P$1)</f>
        <v>103</v>
      </c>
      <c r="C27" s="45" t="n">
        <f aca="false">'1st Year Projections'!C27*(1+$P$1)</f>
        <v>103</v>
      </c>
      <c r="D27" s="45" t="n">
        <f aca="false">'1st Year Projections'!D27*(1+$P$1)</f>
        <v>103</v>
      </c>
      <c r="E27" s="45" t="n">
        <f aca="false">'1st Year Projections'!E27*(1+$P$1)</f>
        <v>103</v>
      </c>
      <c r="F27" s="45" t="n">
        <f aca="false">'1st Year Projections'!F27*(1+$P$1)</f>
        <v>103</v>
      </c>
      <c r="G27" s="45" t="n">
        <f aca="false">'1st Year Projections'!G27*(1+$P$1)</f>
        <v>103</v>
      </c>
      <c r="H27" s="45" t="n">
        <f aca="false">'1st Year Projections'!H27*(1+$P$1)</f>
        <v>103</v>
      </c>
      <c r="I27" s="45" t="n">
        <f aca="false">'1st Year Projections'!I27*(1+$P$1)</f>
        <v>103</v>
      </c>
      <c r="J27" s="45" t="n">
        <f aca="false">'1st Year Projections'!J27*(1+$P$1)</f>
        <v>103</v>
      </c>
      <c r="K27" s="45" t="n">
        <f aca="false">'1st Year Projections'!K27*(1+$P$1)</f>
        <v>103</v>
      </c>
      <c r="L27" s="45" t="n">
        <f aca="false">'1st Year Projections'!L27*(1+$P$1)</f>
        <v>103</v>
      </c>
      <c r="M27" s="45" t="n">
        <f aca="false">'1st Year Projections'!M27*(1+$P$1)</f>
        <v>103</v>
      </c>
      <c r="N27" s="42" t="n">
        <f aca="false">SUM(B27:M27)</f>
        <v>1236</v>
      </c>
      <c r="O27" s="65"/>
      <c r="P27" s="61"/>
    </row>
    <row r="28" customFormat="false" ht="15.75" hidden="false" customHeight="true" outlineLevel="0" collapsed="false">
      <c r="A28" s="44" t="str">
        <f aca="false">'1st Year Projections'!A28</f>
        <v>Office Meals / Entertainment</v>
      </c>
      <c r="B28" s="45" t="n">
        <f aca="false">'1st Year Projections'!B28*(1+$P$1)</f>
        <v>77.25</v>
      </c>
      <c r="C28" s="45" t="n">
        <f aca="false">'1st Year Projections'!C28*(1+$P$1)</f>
        <v>77.25</v>
      </c>
      <c r="D28" s="45" t="n">
        <f aca="false">'1st Year Projections'!D28*(1+$P$1)</f>
        <v>77.25</v>
      </c>
      <c r="E28" s="45" t="n">
        <f aca="false">'1st Year Projections'!E28*(1+$P$1)</f>
        <v>77.25</v>
      </c>
      <c r="F28" s="45" t="n">
        <f aca="false">'1st Year Projections'!F28*(1+$P$1)</f>
        <v>77.25</v>
      </c>
      <c r="G28" s="45" t="n">
        <f aca="false">'1st Year Projections'!G28*(1+$P$1)</f>
        <v>77.25</v>
      </c>
      <c r="H28" s="45" t="n">
        <f aca="false">'1st Year Projections'!H28*(1+$P$1)</f>
        <v>77.25</v>
      </c>
      <c r="I28" s="45" t="n">
        <f aca="false">'1st Year Projections'!I28*(1+$P$1)</f>
        <v>77.25</v>
      </c>
      <c r="J28" s="45" t="n">
        <f aca="false">'1st Year Projections'!J28*(1+$P$1)</f>
        <v>77.25</v>
      </c>
      <c r="K28" s="45" t="n">
        <f aca="false">'1st Year Projections'!K28*(1+$P$1)</f>
        <v>77.25</v>
      </c>
      <c r="L28" s="45" t="n">
        <f aca="false">'1st Year Projections'!L28*(1+$P$1)</f>
        <v>77.25</v>
      </c>
      <c r="M28" s="45" t="n">
        <f aca="false">'1st Year Projections'!M28*(1+$P$1)</f>
        <v>77.25</v>
      </c>
      <c r="N28" s="42" t="n">
        <f aca="false">SUM(B28:M28)</f>
        <v>927</v>
      </c>
      <c r="O28" s="65"/>
      <c r="P28" s="61"/>
    </row>
    <row r="29" customFormat="false" ht="15.75" hidden="false" customHeight="true" outlineLevel="0" collapsed="false">
      <c r="A29" s="44" t="str">
        <f aca="false">'1st Year Projections'!A29</f>
        <v>Repairs </v>
      </c>
      <c r="B29" s="45" t="n">
        <f aca="false">'1st Year Projections'!B29*(1+$P$1)</f>
        <v>0</v>
      </c>
      <c r="C29" s="45" t="n">
        <f aca="false">'1st Year Projections'!C29*(1+$P$1)</f>
        <v>0</v>
      </c>
      <c r="D29" s="45" t="n">
        <f aca="false">'1st Year Projections'!D29*(1+$P$1)</f>
        <v>0</v>
      </c>
      <c r="E29" s="45" t="n">
        <f aca="false">'1st Year Projections'!E29*(1+$P$1)</f>
        <v>0</v>
      </c>
      <c r="F29" s="45" t="n">
        <f aca="false">'1st Year Projections'!F29*(1+$P$1)</f>
        <v>0</v>
      </c>
      <c r="G29" s="45" t="n">
        <f aca="false">'1st Year Projections'!G29*(1+$P$1)</f>
        <v>0</v>
      </c>
      <c r="H29" s="45" t="n">
        <f aca="false">'1st Year Projections'!H29*(1+$P$1)</f>
        <v>0</v>
      </c>
      <c r="I29" s="45" t="n">
        <f aca="false">'1st Year Projections'!I29*(1+$P$1)</f>
        <v>0</v>
      </c>
      <c r="J29" s="45" t="n">
        <f aca="false">'1st Year Projections'!J29*(1+$P$1)</f>
        <v>0</v>
      </c>
      <c r="K29" s="45" t="n">
        <f aca="false">'1st Year Projections'!K29*(1+$P$1)</f>
        <v>0</v>
      </c>
      <c r="L29" s="45" t="n">
        <f aca="false">'1st Year Projections'!L29*(1+$P$1)</f>
        <v>0</v>
      </c>
      <c r="M29" s="45" t="n">
        <f aca="false">'1st Year Projections'!M29*(1+$P$1)</f>
        <v>0</v>
      </c>
      <c r="N29" s="42" t="n">
        <f aca="false">SUM(B29:M29)</f>
        <v>0</v>
      </c>
      <c r="O29" s="65"/>
      <c r="P29" s="61"/>
    </row>
    <row r="30" customFormat="false" ht="15.75" hidden="false" customHeight="true" outlineLevel="0" collapsed="false">
      <c r="A30" s="44" t="str">
        <f aca="false">'1st Year Projections'!A30</f>
        <v>Salary Expenses </v>
      </c>
      <c r="B30" s="66" t="n">
        <v>800</v>
      </c>
      <c r="C30" s="66" t="n">
        <v>800</v>
      </c>
      <c r="D30" s="66" t="n">
        <v>800</v>
      </c>
      <c r="E30" s="66" t="n">
        <v>800</v>
      </c>
      <c r="F30" s="66" t="n">
        <v>800</v>
      </c>
      <c r="G30" s="66" t="n">
        <v>800</v>
      </c>
      <c r="H30" s="66" t="n">
        <v>1600</v>
      </c>
      <c r="I30" s="66" t="n">
        <v>1600</v>
      </c>
      <c r="J30" s="66" t="n">
        <v>1600</v>
      </c>
      <c r="K30" s="66" t="n">
        <v>1600</v>
      </c>
      <c r="L30" s="66" t="n">
        <v>1600</v>
      </c>
      <c r="M30" s="66" t="n">
        <v>1600</v>
      </c>
      <c r="N30" s="42" t="n">
        <f aca="false">SUM(B30:M30)</f>
        <v>14400</v>
      </c>
      <c r="O30" s="65" t="s">
        <v>256</v>
      </c>
      <c r="P30" s="61"/>
    </row>
    <row r="31" customFormat="false" ht="15.75" hidden="false" customHeight="true" outlineLevel="0" collapsed="false">
      <c r="A31" s="44" t="str">
        <f aca="false">'1st Year Projections'!A31</f>
        <v>Telephone &amp; Internet</v>
      </c>
      <c r="B31" s="45" t="n">
        <f aca="false">'1st Year Projections'!B31*(1+$P$1)</f>
        <v>77.25</v>
      </c>
      <c r="C31" s="45" t="n">
        <f aca="false">'1st Year Projections'!C31*(1+$P$1)</f>
        <v>77.25</v>
      </c>
      <c r="D31" s="45" t="n">
        <f aca="false">'1st Year Projections'!D31*(1+$P$1)</f>
        <v>77.25</v>
      </c>
      <c r="E31" s="45" t="n">
        <f aca="false">'1st Year Projections'!E31*(1+$P$1)</f>
        <v>77.25</v>
      </c>
      <c r="F31" s="45" t="n">
        <f aca="false">'1st Year Projections'!F31*(1+$P$1)</f>
        <v>77.25</v>
      </c>
      <c r="G31" s="45" t="n">
        <f aca="false">'1st Year Projections'!G31*(1+$P$1)</f>
        <v>77.25</v>
      </c>
      <c r="H31" s="45" t="n">
        <f aca="false">'1st Year Projections'!H31*(1+$P$1)</f>
        <v>77.25</v>
      </c>
      <c r="I31" s="45" t="n">
        <f aca="false">'1st Year Projections'!I31*(1+$P$1)</f>
        <v>77.25</v>
      </c>
      <c r="J31" s="45" t="n">
        <f aca="false">'1st Year Projections'!J31*(1+$P$1)</f>
        <v>77.25</v>
      </c>
      <c r="K31" s="45" t="n">
        <f aca="false">'1st Year Projections'!K31*(1+$P$1)</f>
        <v>77.25</v>
      </c>
      <c r="L31" s="45" t="n">
        <f aca="false">'1st Year Projections'!L31*(1+$P$1)</f>
        <v>77.25</v>
      </c>
      <c r="M31" s="45" t="n">
        <f aca="false">'1st Year Projections'!M31*(1+$P$1)</f>
        <v>77.25</v>
      </c>
      <c r="N31" s="42" t="n">
        <f aca="false">SUM(B31:M31)</f>
        <v>927</v>
      </c>
      <c r="O31" s="65"/>
      <c r="P31" s="61"/>
    </row>
    <row r="32" customFormat="false" ht="15.75" hidden="false" customHeight="true" outlineLevel="0" collapsed="false">
      <c r="A32" s="44" t="str">
        <f aca="false">'1st Year Projections'!A32</f>
        <v>Insurance </v>
      </c>
      <c r="B32" s="45" t="n">
        <f aca="false">'1st Year Projections'!B32*(1+$P$1)</f>
        <v>103</v>
      </c>
      <c r="C32" s="45" t="n">
        <f aca="false">'1st Year Projections'!C32*(1+$P$1)</f>
        <v>103</v>
      </c>
      <c r="D32" s="45" t="n">
        <f aca="false">'1st Year Projections'!D32*(1+$P$1)</f>
        <v>103</v>
      </c>
      <c r="E32" s="45" t="n">
        <f aca="false">'1st Year Projections'!E32*(1+$P$1)</f>
        <v>103</v>
      </c>
      <c r="F32" s="45" t="n">
        <f aca="false">'1st Year Projections'!F32*(1+$P$1)</f>
        <v>103</v>
      </c>
      <c r="G32" s="45" t="n">
        <f aca="false">'1st Year Projections'!G32*(1+$P$1)</f>
        <v>103</v>
      </c>
      <c r="H32" s="45" t="n">
        <f aca="false">'1st Year Projections'!H32*(1+$P$1)</f>
        <v>103</v>
      </c>
      <c r="I32" s="45" t="n">
        <f aca="false">'1st Year Projections'!I32*(1+$P$1)</f>
        <v>103</v>
      </c>
      <c r="J32" s="45" t="n">
        <f aca="false">'1st Year Projections'!J32*(1+$P$1)</f>
        <v>103</v>
      </c>
      <c r="K32" s="45" t="n">
        <f aca="false">'1st Year Projections'!K32*(1+$P$1)</f>
        <v>103</v>
      </c>
      <c r="L32" s="45" t="n">
        <f aca="false">'1st Year Projections'!L32*(1+$P$1)</f>
        <v>103</v>
      </c>
      <c r="M32" s="45" t="n">
        <f aca="false">'1st Year Projections'!M32*(1+$P$1)</f>
        <v>103</v>
      </c>
      <c r="N32" s="42" t="n">
        <f aca="false">SUM(B32:M32)</f>
        <v>1236</v>
      </c>
      <c r="O32" s="65"/>
      <c r="P32" s="61"/>
    </row>
    <row r="33" customFormat="false" ht="15.75" hidden="false" customHeight="true" outlineLevel="0" collapsed="false">
      <c r="A33" s="44" t="str">
        <f aca="false">'1st Year Projections'!A33</f>
        <v>Interest Expense Loan #1</v>
      </c>
      <c r="B33" s="45" t="n">
        <f aca="false">'Proposed Loan Details'!G7</f>
        <v>104.716485043473</v>
      </c>
      <c r="C33" s="45" t="n">
        <f aca="false">'Proposed Loan Details'!H7</f>
        <v>102.933241829927</v>
      </c>
      <c r="D33" s="45" t="n">
        <f aca="false">'Proposed Loan Details'!I7</f>
        <v>101.135138256267</v>
      </c>
      <c r="E33" s="45" t="n">
        <f aca="false">'Proposed Loan Details'!J7</f>
        <v>99.3220504861611</v>
      </c>
      <c r="F33" s="45" t="n">
        <f aca="false">'Proposed Loan Details'!K7</f>
        <v>97.4938536513039</v>
      </c>
      <c r="G33" s="45" t="n">
        <f aca="false">'Proposed Loan Details'!L7</f>
        <v>95.650421842823</v>
      </c>
      <c r="H33" s="45" t="n">
        <f aca="false">'Proposed Loan Details'!M7</f>
        <v>93.7916281026047</v>
      </c>
      <c r="I33" s="45" t="n">
        <f aca="false">'Proposed Loan Details'!N7</f>
        <v>91.9173444145512</v>
      </c>
      <c r="J33" s="45" t="n">
        <f aca="false">'Proposed Loan Details'!O7</f>
        <v>90.0274416957639</v>
      </c>
      <c r="K33" s="45" t="n">
        <f aca="false">'Proposed Loan Details'!P7</f>
        <v>88.1217897876534</v>
      </c>
      <c r="L33" s="45" t="n">
        <f aca="false">'Proposed Loan Details'!Q7</f>
        <v>86.2002574469753</v>
      </c>
      <c r="M33" s="45" t="n">
        <f aca="false">'Proposed Loan Details'!R7</f>
        <v>84.2627123367916</v>
      </c>
      <c r="N33" s="42" t="n">
        <f aca="false">SUM(B33:M33)</f>
        <v>1135.57236489429</v>
      </c>
      <c r="O33" s="65" t="s">
        <v>257</v>
      </c>
      <c r="P33" s="61"/>
    </row>
    <row r="34" customFormat="false" ht="15.75" hidden="false" customHeight="true" outlineLevel="0" collapsed="false">
      <c r="A34" s="44" t="str">
        <f aca="false">'1st Year Projections'!A34</f>
        <v>Interest Expense Loan #2</v>
      </c>
      <c r="B34" s="45" t="n">
        <f aca="false">'Proposed Loan Details'!G13</f>
        <v>0</v>
      </c>
      <c r="C34" s="45" t="n">
        <f aca="false">'Proposed Loan Details'!H13</f>
        <v>0</v>
      </c>
      <c r="D34" s="45" t="n">
        <f aca="false">'Proposed Loan Details'!I13</f>
        <v>0</v>
      </c>
      <c r="E34" s="45" t="n">
        <f aca="false">'Proposed Loan Details'!J13</f>
        <v>0</v>
      </c>
      <c r="F34" s="45" t="n">
        <f aca="false">'Proposed Loan Details'!K13</f>
        <v>0</v>
      </c>
      <c r="G34" s="45" t="n">
        <f aca="false">'Proposed Loan Details'!L13</f>
        <v>0</v>
      </c>
      <c r="H34" s="45" t="n">
        <f aca="false">'Proposed Loan Details'!M13</f>
        <v>0</v>
      </c>
      <c r="I34" s="45" t="n">
        <f aca="false">'Proposed Loan Details'!N13</f>
        <v>0</v>
      </c>
      <c r="J34" s="45" t="n">
        <f aca="false">'Proposed Loan Details'!O13</f>
        <v>0</v>
      </c>
      <c r="K34" s="45" t="n">
        <f aca="false">'Proposed Loan Details'!P13</f>
        <v>0</v>
      </c>
      <c r="L34" s="45" t="n">
        <f aca="false">'Proposed Loan Details'!Q13</f>
        <v>0</v>
      </c>
      <c r="M34" s="45" t="n">
        <f aca="false">'Proposed Loan Details'!R13</f>
        <v>0</v>
      </c>
      <c r="N34" s="42" t="n">
        <f aca="false">SUM(B34:M34)</f>
        <v>0</v>
      </c>
      <c r="O34" s="65"/>
      <c r="P34" s="61"/>
    </row>
    <row r="35" customFormat="false" ht="15.75" hidden="false" customHeight="true" outlineLevel="0" collapsed="false">
      <c r="A35" s="44" t="str">
        <f aca="false">'1st Year Projections'!A35</f>
        <v>Software &amp; Web Pass</v>
      </c>
      <c r="B35" s="45" t="n">
        <f aca="false">'1st Year Projections'!B35*(1+$P$1)</f>
        <v>123.6</v>
      </c>
      <c r="C35" s="45" t="n">
        <f aca="false">'1st Year Projections'!C35*(1+$P$1)</f>
        <v>123.6</v>
      </c>
      <c r="D35" s="45" t="n">
        <f aca="false">'1st Year Projections'!D35*(1+$P$1)</f>
        <v>123.6</v>
      </c>
      <c r="E35" s="45" t="n">
        <f aca="false">'1st Year Projections'!E35*(1+$P$1)</f>
        <v>123.6</v>
      </c>
      <c r="F35" s="45" t="n">
        <f aca="false">'1st Year Projections'!F35*(1+$P$1)</f>
        <v>123.6</v>
      </c>
      <c r="G35" s="45" t="n">
        <f aca="false">'1st Year Projections'!G35*(1+$P$1)</f>
        <v>123.6</v>
      </c>
      <c r="H35" s="45" t="n">
        <f aca="false">'1st Year Projections'!H35*(1+$P$1)</f>
        <v>123.6</v>
      </c>
      <c r="I35" s="45" t="n">
        <f aca="false">'1st Year Projections'!I35*(1+$P$1)</f>
        <v>123.6</v>
      </c>
      <c r="J35" s="45" t="n">
        <f aca="false">'1st Year Projections'!J35*(1+$P$1)</f>
        <v>123.6</v>
      </c>
      <c r="K35" s="45" t="n">
        <f aca="false">'1st Year Projections'!K35*(1+$P$1)</f>
        <v>123.6</v>
      </c>
      <c r="L35" s="45" t="n">
        <f aca="false">'1st Year Projections'!L35*(1+$P$1)</f>
        <v>123.6</v>
      </c>
      <c r="M35" s="45" t="n">
        <f aca="false">'1st Year Projections'!M35*(1+$P$1)</f>
        <v>123.6</v>
      </c>
      <c r="N35" s="42" t="n">
        <f aca="false">SUM(B35:M35)</f>
        <v>1483.2</v>
      </c>
      <c r="O35" s="65"/>
      <c r="P35" s="61"/>
    </row>
    <row r="36" customFormat="false" ht="15.75" hidden="false" customHeight="true" outlineLevel="0" collapsed="false">
      <c r="A36" s="44" t="str">
        <f aca="false">'1st Year Projections'!A36</f>
        <v>Professional Fees (legal, trademark, CPA)</v>
      </c>
      <c r="B36" s="45" t="n">
        <f aca="false">'1st Year Projections'!B36*(1+$P$1)</f>
        <v>1545</v>
      </c>
      <c r="C36" s="45" t="n">
        <f aca="false">'1st Year Projections'!C36*(1+$P$1)</f>
        <v>0</v>
      </c>
      <c r="D36" s="45" t="n">
        <f aca="false">'1st Year Projections'!D36*(1+$P$1)</f>
        <v>1030</v>
      </c>
      <c r="E36" s="45" t="n">
        <f aca="false">'1st Year Projections'!E36*(1+$P$1)</f>
        <v>103</v>
      </c>
      <c r="F36" s="45" t="n">
        <f aca="false">'1st Year Projections'!F36*(1+$P$1)</f>
        <v>103</v>
      </c>
      <c r="G36" s="45" t="n">
        <f aca="false">'1st Year Projections'!G36*(1+$P$1)</f>
        <v>103</v>
      </c>
      <c r="H36" s="45" t="n">
        <f aca="false">'1st Year Projections'!H36*(1+$P$1)</f>
        <v>103</v>
      </c>
      <c r="I36" s="45" t="n">
        <f aca="false">'1st Year Projections'!I36*(1+$P$1)</f>
        <v>103</v>
      </c>
      <c r="J36" s="45" t="n">
        <f aca="false">'1st Year Projections'!J36*(1+$P$1)</f>
        <v>103</v>
      </c>
      <c r="K36" s="45" t="n">
        <f aca="false">'1st Year Projections'!K36*(1+$P$1)</f>
        <v>103</v>
      </c>
      <c r="L36" s="45" t="n">
        <f aca="false">'1st Year Projections'!L36*(1+$P$1)</f>
        <v>103</v>
      </c>
      <c r="M36" s="45" t="n">
        <f aca="false">'1st Year Projections'!M36*(1+$P$1)</f>
        <v>103</v>
      </c>
      <c r="N36" s="42" t="n">
        <f aca="false">SUM(B36:M36)</f>
        <v>3502</v>
      </c>
      <c r="O36" s="65"/>
      <c r="P36" s="61"/>
    </row>
    <row r="37" customFormat="false" ht="15.75" hidden="false" customHeight="true" outlineLevel="0" collapsed="false">
      <c r="A37" s="44" t="str">
        <f aca="false">'1st Year Projections'!A37</f>
        <v>Licenses, Permits &amp; Fees</v>
      </c>
      <c r="B37" s="45" t="n">
        <f aca="false">'1st Year Projections'!B37*(1+$P$1)</f>
        <v>51.5</v>
      </c>
      <c r="C37" s="45" t="n">
        <f aca="false">'1st Year Projections'!C37*(1+$P$1)</f>
        <v>51.5</v>
      </c>
      <c r="D37" s="45" t="n">
        <f aca="false">'1st Year Projections'!D37*(1+$P$1)</f>
        <v>51.5</v>
      </c>
      <c r="E37" s="45" t="n">
        <f aca="false">'1st Year Projections'!E37*(1+$P$1)</f>
        <v>51.5</v>
      </c>
      <c r="F37" s="45" t="n">
        <f aca="false">'1st Year Projections'!F37*(1+$P$1)</f>
        <v>51.5</v>
      </c>
      <c r="G37" s="45" t="n">
        <f aca="false">'1st Year Projections'!G37*(1+$P$1)</f>
        <v>51.5</v>
      </c>
      <c r="H37" s="45" t="n">
        <f aca="false">'1st Year Projections'!H37*(1+$P$1)</f>
        <v>51.5</v>
      </c>
      <c r="I37" s="45" t="n">
        <f aca="false">'1st Year Projections'!I37*(1+$P$1)</f>
        <v>51.5</v>
      </c>
      <c r="J37" s="45" t="n">
        <f aca="false">'1st Year Projections'!J37*(1+$P$1)</f>
        <v>51.5</v>
      </c>
      <c r="K37" s="45" t="n">
        <f aca="false">'1st Year Projections'!K37*(1+$P$1)</f>
        <v>51.5</v>
      </c>
      <c r="L37" s="45" t="n">
        <f aca="false">'1st Year Projections'!L37*(1+$P$1)</f>
        <v>51.5</v>
      </c>
      <c r="M37" s="45" t="n">
        <f aca="false">'1st Year Projections'!M37*(1+$P$1)</f>
        <v>51.5</v>
      </c>
      <c r="N37" s="42" t="n">
        <f aca="false">SUM(B37:M37)</f>
        <v>618</v>
      </c>
      <c r="O37" s="65"/>
      <c r="P37" s="61"/>
    </row>
    <row r="38" customFormat="false" ht="15.75" hidden="false" customHeight="true" outlineLevel="0" collapsed="false">
      <c r="A38" s="44" t="str">
        <f aca="false">'1st Year Projections'!A38</f>
        <v>Brand &amp; Design</v>
      </c>
      <c r="B38" s="66" t="n">
        <v>0</v>
      </c>
      <c r="C38" s="66" t="n">
        <v>0</v>
      </c>
      <c r="D38" s="66" t="n">
        <v>0</v>
      </c>
      <c r="E38" s="66" t="n">
        <v>0</v>
      </c>
      <c r="F38" s="66" t="n">
        <v>0</v>
      </c>
      <c r="G38" s="66" t="n">
        <v>0</v>
      </c>
      <c r="H38" s="66" t="n">
        <v>0</v>
      </c>
      <c r="I38" s="66" t="n">
        <v>1500</v>
      </c>
      <c r="J38" s="66" t="n">
        <v>0</v>
      </c>
      <c r="K38" s="66" t="n">
        <v>0</v>
      </c>
      <c r="L38" s="66" t="n">
        <v>0</v>
      </c>
      <c r="M38" s="66" t="n">
        <v>0</v>
      </c>
      <c r="N38" s="42" t="n">
        <f aca="false">SUM(B38:M38)</f>
        <v>1500</v>
      </c>
      <c r="O38" s="65" t="s">
        <v>258</v>
      </c>
      <c r="P38" s="61"/>
    </row>
    <row r="39" customFormat="false" ht="15.75" hidden="false" customHeight="true" outlineLevel="0" collapsed="false">
      <c r="A39" s="58" t="s">
        <v>171</v>
      </c>
      <c r="B39" s="59" t="n">
        <f aca="false">SUM(B21:B38)</f>
        <v>5107.24148504347</v>
      </c>
      <c r="C39" s="59" t="n">
        <f aca="false">SUM(C21:C38)</f>
        <v>3431.45824182993</v>
      </c>
      <c r="D39" s="59" t="n">
        <f aca="false">SUM(D21:D38)</f>
        <v>4534.66013825627</v>
      </c>
      <c r="E39" s="59" t="n">
        <f aca="false">SUM(E21:E38)</f>
        <v>3520.04705048616</v>
      </c>
      <c r="F39" s="59" t="n">
        <f aca="false">SUM(F21:F38)</f>
        <v>3518.2188536513</v>
      </c>
      <c r="G39" s="59" t="n">
        <f aca="false">SUM(G21:G38)</f>
        <v>3423.30042184282</v>
      </c>
      <c r="H39" s="59" t="n">
        <f aca="false">SUM(H21:H38)</f>
        <v>4497.3666281026</v>
      </c>
      <c r="I39" s="59" t="n">
        <f aca="false">SUM(I21:I38)</f>
        <v>5995.49234441455</v>
      </c>
      <c r="J39" s="59" t="n">
        <f aca="false">SUM(J21:J38)</f>
        <v>5071.10244169576</v>
      </c>
      <c r="K39" s="59" t="n">
        <f aca="false">SUM(K21:K38)</f>
        <v>4341.69678978765</v>
      </c>
      <c r="L39" s="59" t="n">
        <f aca="false">SUM(L21:L38)</f>
        <v>4339.77525744698</v>
      </c>
      <c r="M39" s="59" t="n">
        <f aca="false">SUM(M21:M38)</f>
        <v>4211.91271233679</v>
      </c>
      <c r="N39" s="67" t="n">
        <f aca="false">SUM(N21:N38)</f>
        <v>51992.2723648943</v>
      </c>
      <c r="O39" s="56" t="s">
        <v>259</v>
      </c>
      <c r="P39" s="68"/>
    </row>
    <row r="40" customFormat="false" ht="15.75" hidden="false" customHeight="true" outlineLevel="0" collapsed="false">
      <c r="A40" s="69"/>
      <c r="B40" s="53"/>
      <c r="C40" s="53"/>
      <c r="D40" s="53"/>
      <c r="E40" s="53"/>
      <c r="F40" s="53"/>
      <c r="G40" s="53"/>
      <c r="H40" s="53"/>
      <c r="I40" s="53"/>
      <c r="J40" s="52"/>
      <c r="K40" s="53"/>
      <c r="L40" s="52"/>
      <c r="M40" s="53"/>
      <c r="N40" s="53"/>
      <c r="O40" s="54"/>
    </row>
    <row r="41" customFormat="false" ht="15.75" hidden="false" customHeight="true" outlineLevel="0" collapsed="false">
      <c r="A41" s="70" t="s">
        <v>173</v>
      </c>
      <c r="B41" s="67" t="n">
        <f aca="false">B18-B39</f>
        <v>6662.75851495653</v>
      </c>
      <c r="C41" s="67" t="n">
        <f aca="false">C18-C39</f>
        <v>2488.54175817007</v>
      </c>
      <c r="D41" s="67" t="n">
        <f aca="false">D18-D39</f>
        <v>5885.33986174373</v>
      </c>
      <c r="E41" s="67" t="n">
        <f aca="false">E18-E39</f>
        <v>2129.95294951384</v>
      </c>
      <c r="F41" s="67" t="n">
        <f aca="false">F18-F39</f>
        <v>2131.7811463487</v>
      </c>
      <c r="G41" s="67" t="n">
        <f aca="false">G18-G39</f>
        <v>-578.300421842823</v>
      </c>
      <c r="H41" s="67" t="n">
        <f aca="false">H18-H39</f>
        <v>11142.6333718974</v>
      </c>
      <c r="I41" s="67" t="n">
        <f aca="false">I18-I39</f>
        <v>9644.50765558545</v>
      </c>
      <c r="J41" s="67" t="n">
        <f aca="false">J18-J39</f>
        <v>16868.8975583042</v>
      </c>
      <c r="K41" s="67" t="n">
        <f aca="false">K18-K39</f>
        <v>2298.30321021235</v>
      </c>
      <c r="L41" s="67" t="n">
        <f aca="false">L18-L39</f>
        <v>2300.22474255303</v>
      </c>
      <c r="M41" s="67" t="n">
        <f aca="false">M18-M39</f>
        <v>-1366.91271233679</v>
      </c>
      <c r="N41" s="67" t="n">
        <f aca="false">N18-N39</f>
        <v>59607.7276351057</v>
      </c>
      <c r="O41" s="56"/>
      <c r="P41" s="68" t="n">
        <f aca="false">IFERROR(N41/N9,"")</f>
        <v>0.258916374055711</v>
      </c>
    </row>
    <row r="44" customFormat="false" ht="18" hidden="false" customHeight="true" outlineLevel="0" collapsed="false"/>
  </sheetData>
  <mergeCells count="1">
    <mergeCell ref="B1:M1"/>
  </mergeCells>
  <conditionalFormatting sqref="B41:M41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35" activeCellId="0" sqref="D3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.85"/>
    <col collapsed="false" customWidth="true" hidden="false" outlineLevel="0" max="4" min="4" style="1" width="49"/>
    <col collapsed="false" customWidth="true" hidden="false" outlineLevel="0" max="5" min="5" style="1" width="9.86"/>
    <col collapsed="false" customWidth="true" hidden="false" outlineLevel="0" max="6" min="6" style="1" width="22.42"/>
  </cols>
  <sheetData>
    <row r="1" customFormat="false" ht="35.25" hidden="false" customHeight="true" outlineLevel="0" collapsed="false">
      <c r="A1" s="25" t="s">
        <v>99</v>
      </c>
      <c r="B1" s="27"/>
      <c r="C1" s="27"/>
      <c r="E1" s="140"/>
    </row>
    <row r="2" customFormat="false" ht="15" hidden="false" customHeight="false" outlineLevel="0" collapsed="false">
      <c r="A2" s="71" t="n">
        <f aca="false">'1st Year Projections'!N4</f>
        <v>46753</v>
      </c>
      <c r="B2" s="27"/>
      <c r="C2" s="27"/>
      <c r="E2" s="140"/>
    </row>
    <row r="3" customFormat="false" ht="60" hidden="false" customHeight="true" outlineLevel="0" collapsed="false">
      <c r="A3" s="30"/>
      <c r="B3" s="32" t="s">
        <v>115</v>
      </c>
      <c r="C3" s="141"/>
      <c r="D3" s="33"/>
      <c r="E3" s="34" t="s">
        <v>116</v>
      </c>
    </row>
    <row r="4" customFormat="false" ht="15.75" hidden="false" customHeight="true" outlineLevel="0" collapsed="false">
      <c r="A4" s="35" t="s">
        <v>117</v>
      </c>
      <c r="B4" s="38" t="s">
        <v>98</v>
      </c>
      <c r="C4" s="142"/>
      <c r="D4" s="39" t="s">
        <v>118</v>
      </c>
      <c r="E4" s="140"/>
      <c r="F4" s="143" t="s">
        <v>260</v>
      </c>
      <c r="G4" s="144"/>
    </row>
    <row r="5" customFormat="false" ht="15.75" hidden="false" customHeight="true" outlineLevel="0" collapsed="false">
      <c r="A5" s="145" t="str">
        <f aca="false">'2nd Year Projections'!A5</f>
        <v>Gathering tickets &amp; Season Passes</v>
      </c>
      <c r="B5" s="146" t="n">
        <f aca="false">'2nd Year Projections'!N5</f>
        <v>73000</v>
      </c>
      <c r="C5" s="147"/>
      <c r="D5" s="21"/>
      <c r="E5" s="140"/>
      <c r="F5" s="148"/>
      <c r="G5" s="149"/>
    </row>
    <row r="6" customFormat="false" ht="15.75" hidden="false" customHeight="true" outlineLevel="0" collapsed="false">
      <c r="A6" s="51" t="str">
        <f aca="false">'2nd Year Projections'!A6</f>
        <v>Corporate private runs</v>
      </c>
      <c r="B6" s="146" t="n">
        <f aca="false">'2nd Year Projections'!N6</f>
        <v>60000</v>
      </c>
      <c r="C6" s="147"/>
      <c r="D6" s="150"/>
      <c r="E6" s="140"/>
      <c r="F6" s="151"/>
      <c r="G6" s="152"/>
    </row>
    <row r="7" customFormat="false" ht="15" hidden="false" customHeight="false" outlineLevel="0" collapsed="false">
      <c r="A7" s="153" t="str">
        <f aca="false">'2nd Year Projections'!A7</f>
        <v>Sponsorships</v>
      </c>
      <c r="B7" s="146" t="n">
        <f aca="false">'2nd Year Projections'!N7</f>
        <v>35000</v>
      </c>
      <c r="C7" s="147"/>
      <c r="D7" s="43"/>
      <c r="E7" s="140"/>
    </row>
    <row r="8" customFormat="false" ht="0.75" hidden="false" customHeight="true" outlineLevel="0" collapsed="false">
      <c r="A8" s="153" t="str">
        <f aca="false">'2nd Year Projections'!A8</f>
        <v>Flagship &amp; Vanguard membership</v>
      </c>
      <c r="B8" s="146" t="n">
        <f aca="false">'2nd Year Projections'!N8</f>
        <v>62220</v>
      </c>
      <c r="C8" s="147"/>
      <c r="D8" s="43"/>
      <c r="E8" s="140"/>
    </row>
    <row r="9" customFormat="false" ht="15" hidden="false" customHeight="false" outlineLevel="0" collapsed="false">
      <c r="A9" s="154" t="s">
        <v>123</v>
      </c>
      <c r="B9" s="67" t="n">
        <f aca="false">SUM(B5:B8)</f>
        <v>230220</v>
      </c>
      <c r="C9" s="147"/>
      <c r="D9" s="56"/>
      <c r="E9" s="140"/>
    </row>
    <row r="10" customFormat="false" ht="15" hidden="false" customHeight="false" outlineLevel="0" collapsed="false">
      <c r="A10" s="51"/>
      <c r="B10" s="146"/>
      <c r="C10" s="147"/>
      <c r="D10" s="21"/>
      <c r="E10" s="140"/>
    </row>
    <row r="11" customFormat="false" ht="15" hidden="false" customHeight="false" outlineLevel="0" collapsed="false">
      <c r="A11" s="35" t="s">
        <v>124</v>
      </c>
      <c r="B11" s="67"/>
      <c r="C11" s="147"/>
      <c r="D11" s="56"/>
      <c r="E11" s="140"/>
    </row>
    <row r="12" customFormat="false" ht="22.35" hidden="false" customHeight="false" outlineLevel="0" collapsed="false">
      <c r="A12" s="155" t="str">
        <f aca="false">'2nd Year Projections'!A12</f>
        <v>Gathering tickets &amp; Season Passes (direct costs)</v>
      </c>
      <c r="B12" s="146" t="n">
        <f aca="false">'2nd Year Projections'!N12</f>
        <v>40000</v>
      </c>
      <c r="C12" s="147"/>
      <c r="D12" s="43"/>
      <c r="E12" s="140"/>
    </row>
    <row r="13" customFormat="false" ht="22.35" hidden="false" customHeight="false" outlineLevel="0" collapsed="false">
      <c r="A13" s="51" t="str">
        <f aca="false">'2nd Year Projections'!A13</f>
        <v>Corporate private runs (direct costs)</v>
      </c>
      <c r="B13" s="146" t="n">
        <f aca="false">'2nd Year Projections'!N13</f>
        <v>30720</v>
      </c>
      <c r="C13" s="147"/>
      <c r="D13" s="43"/>
      <c r="E13" s="140"/>
    </row>
    <row r="14" customFormat="false" ht="15" hidden="false" customHeight="false" outlineLevel="0" collapsed="false">
      <c r="A14" s="153" t="str">
        <f aca="false">'2nd Year Projections'!A14</f>
        <v>Sponsorships (direct costs)</v>
      </c>
      <c r="B14" s="146" t="n">
        <f aca="false">'2nd Year Projections'!N14</f>
        <v>3500</v>
      </c>
      <c r="C14" s="147"/>
      <c r="D14" s="43"/>
      <c r="E14" s="140"/>
    </row>
    <row r="15" customFormat="false" ht="0.75" hidden="false" customHeight="true" outlineLevel="0" collapsed="false">
      <c r="A15" s="153" t="str">
        <f aca="false">'2nd Year Projections'!A15</f>
        <v>Flagship &amp; Vanguard membership (direct costs)</v>
      </c>
      <c r="B15" s="146" t="n">
        <f aca="false">'2nd Year Projections'!N15</f>
        <v>44400</v>
      </c>
      <c r="C15" s="147"/>
      <c r="D15" s="43"/>
      <c r="E15" s="140"/>
    </row>
    <row r="16" customFormat="false" ht="15" hidden="false" customHeight="false" outlineLevel="0" collapsed="false">
      <c r="A16" s="154" t="s">
        <v>133</v>
      </c>
      <c r="B16" s="67" t="n">
        <f aca="false">SUM(B12:B15)</f>
        <v>118620</v>
      </c>
      <c r="C16" s="147"/>
      <c r="D16" s="56"/>
      <c r="E16" s="140" t="n">
        <f aca="false">IFERROR(B16/B9,"")</f>
        <v>0.515246286161063</v>
      </c>
    </row>
    <row r="17" customFormat="false" ht="15" hidden="false" customHeight="false" outlineLevel="0" collapsed="false">
      <c r="A17" s="51"/>
      <c r="B17" s="146"/>
      <c r="C17" s="147"/>
      <c r="D17" s="21"/>
      <c r="E17" s="140"/>
    </row>
    <row r="18" customFormat="false" ht="15" hidden="false" customHeight="false" outlineLevel="0" collapsed="false">
      <c r="A18" s="156" t="s">
        <v>134</v>
      </c>
      <c r="B18" s="67" t="n">
        <f aca="false">B9-B16</f>
        <v>111600</v>
      </c>
      <c r="C18" s="147"/>
      <c r="D18" s="56"/>
      <c r="E18" s="140" t="n">
        <f aca="false">B18/B9</f>
        <v>0.484753713838937</v>
      </c>
    </row>
    <row r="19" customFormat="false" ht="15" hidden="false" customHeight="false" outlineLevel="0" collapsed="false">
      <c r="A19" s="51"/>
      <c r="B19" s="146"/>
      <c r="C19" s="147"/>
      <c r="D19" s="21"/>
      <c r="E19" s="140"/>
    </row>
    <row r="20" customFormat="false" ht="15" hidden="false" customHeight="false" outlineLevel="0" collapsed="false">
      <c r="A20" s="35" t="s">
        <v>135</v>
      </c>
      <c r="B20" s="67"/>
      <c r="C20" s="147"/>
      <c r="D20" s="56"/>
      <c r="E20" s="140"/>
    </row>
    <row r="21" customFormat="false" ht="15" hidden="false" customHeight="false" outlineLevel="0" collapsed="false">
      <c r="A21" s="145" t="str">
        <f aca="false">'2nd Year Projections'!A21</f>
        <v>Marketing </v>
      </c>
      <c r="B21" s="146" t="n">
        <f aca="false">'2nd Year Projections'!N21</f>
        <v>18000</v>
      </c>
      <c r="C21" s="147"/>
      <c r="D21" s="43"/>
      <c r="E21" s="140"/>
    </row>
    <row r="22" customFormat="false" ht="15" hidden="false" customHeight="false" outlineLevel="0" collapsed="false">
      <c r="A22" s="145" t="str">
        <f aca="false">'2nd Year Projections'!A22</f>
        <v>Bank Charges </v>
      </c>
      <c r="B22" s="146" t="n">
        <f aca="false">'2nd Year Projections'!N22</f>
        <v>247.2</v>
      </c>
      <c r="C22" s="147"/>
      <c r="D22" s="157"/>
      <c r="E22" s="140"/>
    </row>
    <row r="23" customFormat="false" ht="15" hidden="false" customHeight="false" outlineLevel="0" collapsed="false">
      <c r="A23" s="145" t="str">
        <f aca="false">'2nd Year Projections'!A23</f>
        <v>Car-Truck </v>
      </c>
      <c r="B23" s="146" t="n">
        <f aca="false">'2nd Year Projections'!N23</f>
        <v>2400</v>
      </c>
      <c r="C23" s="147"/>
      <c r="D23" s="150"/>
      <c r="E23" s="140"/>
    </row>
    <row r="24" customFormat="false" ht="15" hidden="false" customHeight="false" outlineLevel="0" collapsed="false">
      <c r="A24" s="145" t="str">
        <f aca="false">'2nd Year Projections'!A24</f>
        <v>Utilities </v>
      </c>
      <c r="B24" s="146" t="n">
        <f aca="false">'2nd Year Projections'!N24</f>
        <v>0</v>
      </c>
      <c r="C24" s="147"/>
      <c r="D24" s="150"/>
      <c r="E24" s="140"/>
    </row>
    <row r="25" customFormat="false" ht="15" hidden="false" customHeight="false" outlineLevel="0" collapsed="false">
      <c r="A25" s="145" t="str">
        <f aca="false">'2nd Year Projections'!A25</f>
        <v>Rent/Lease</v>
      </c>
      <c r="B25" s="146" t="n">
        <f aca="false">'2nd Year Projections'!N25</f>
        <v>927</v>
      </c>
      <c r="C25" s="147"/>
      <c r="D25" s="150"/>
      <c r="E25" s="140"/>
    </row>
    <row r="26" customFormat="false" ht="15" hidden="false" customHeight="false" outlineLevel="0" collapsed="false">
      <c r="A26" s="145" t="str">
        <f aca="false">'2nd Year Projections'!A26</f>
        <v>Merchant Service Fees</v>
      </c>
      <c r="B26" s="146" t="n">
        <f aca="false">'2nd Year Projections'!N26</f>
        <v>3453.3</v>
      </c>
      <c r="C26" s="147"/>
      <c r="D26" s="150"/>
      <c r="E26" s="140"/>
    </row>
    <row r="27" customFormat="false" ht="15" hidden="false" customHeight="false" outlineLevel="0" collapsed="false">
      <c r="A27" s="145" t="str">
        <f aca="false">'2nd Year Projections'!A27</f>
        <v>Office &amp; Supplies </v>
      </c>
      <c r="B27" s="146" t="n">
        <f aca="false">'2nd Year Projections'!N27</f>
        <v>1236</v>
      </c>
      <c r="C27" s="147"/>
      <c r="D27" s="150"/>
      <c r="E27" s="140"/>
    </row>
    <row r="28" customFormat="false" ht="15" hidden="false" customHeight="false" outlineLevel="0" collapsed="false">
      <c r="A28" s="145" t="str">
        <f aca="false">'2nd Year Projections'!A28</f>
        <v>Office Meals / Entertainment</v>
      </c>
      <c r="B28" s="146" t="n">
        <f aca="false">'2nd Year Projections'!N28</f>
        <v>927</v>
      </c>
      <c r="C28" s="147"/>
      <c r="D28" s="150"/>
      <c r="E28" s="140"/>
    </row>
    <row r="29" customFormat="false" ht="15" hidden="false" customHeight="false" outlineLevel="0" collapsed="false">
      <c r="A29" s="145" t="str">
        <f aca="false">'2nd Year Projections'!A29</f>
        <v>Repairs </v>
      </c>
      <c r="B29" s="146" t="n">
        <f aca="false">'2nd Year Projections'!N29</f>
        <v>0</v>
      </c>
      <c r="C29" s="147"/>
      <c r="D29" s="150"/>
      <c r="E29" s="140"/>
    </row>
    <row r="30" customFormat="false" ht="15" hidden="false" customHeight="false" outlineLevel="0" collapsed="false">
      <c r="A30" s="145" t="str">
        <f aca="false">'2nd Year Projections'!A30</f>
        <v>Salary Expenses </v>
      </c>
      <c r="B30" s="146" t="n">
        <f aca="false">'2nd Year Projections'!N30</f>
        <v>14400</v>
      </c>
      <c r="C30" s="147"/>
      <c r="D30" s="150"/>
      <c r="E30" s="140"/>
    </row>
    <row r="31" customFormat="false" ht="15" hidden="false" customHeight="false" outlineLevel="0" collapsed="false">
      <c r="A31" s="145" t="str">
        <f aca="false">'2nd Year Projections'!A31</f>
        <v>Telephone &amp; Internet</v>
      </c>
      <c r="B31" s="146" t="n">
        <f aca="false">'2nd Year Projections'!N31</f>
        <v>927</v>
      </c>
      <c r="C31" s="147"/>
      <c r="D31" s="43"/>
      <c r="E31" s="140"/>
    </row>
    <row r="32" customFormat="false" ht="15" hidden="false" customHeight="false" outlineLevel="0" collapsed="false">
      <c r="A32" s="145" t="str">
        <f aca="false">'2nd Year Projections'!A32</f>
        <v>Insurance </v>
      </c>
      <c r="B32" s="146" t="n">
        <f aca="false">'2nd Year Projections'!N32</f>
        <v>1236</v>
      </c>
      <c r="C32" s="147"/>
      <c r="D32" s="43"/>
      <c r="E32" s="140"/>
    </row>
    <row r="33" customFormat="false" ht="15" hidden="false" customHeight="false" outlineLevel="0" collapsed="false">
      <c r="A33" s="145" t="str">
        <f aca="false">'2nd Year Projections'!A33</f>
        <v>Interest Expense Loan #1</v>
      </c>
      <c r="B33" s="146" t="n">
        <f aca="false">'2nd Year Projections'!N33</f>
        <v>1135.57236489429</v>
      </c>
      <c r="C33" s="147"/>
      <c r="D33" s="43"/>
      <c r="E33" s="140"/>
    </row>
    <row r="34" customFormat="false" ht="15" hidden="false" customHeight="false" outlineLevel="0" collapsed="false">
      <c r="A34" s="145" t="str">
        <f aca="false">'2nd Year Projections'!A34</f>
        <v>Interest Expense Loan #2</v>
      </c>
      <c r="B34" s="146" t="n">
        <f aca="false">'2nd Year Projections'!N34</f>
        <v>0</v>
      </c>
      <c r="C34" s="147"/>
      <c r="D34" s="43"/>
      <c r="E34" s="140"/>
    </row>
    <row r="35" customFormat="false" ht="15" hidden="false" customHeight="false" outlineLevel="0" collapsed="false">
      <c r="A35" s="145" t="str">
        <f aca="false">'2nd Year Projections'!A35</f>
        <v>Software &amp; Web Pass</v>
      </c>
      <c r="B35" s="146" t="n">
        <f aca="false">'2nd Year Projections'!N35</f>
        <v>1483.2</v>
      </c>
      <c r="C35" s="147"/>
      <c r="D35" s="43"/>
      <c r="E35" s="140"/>
    </row>
    <row r="36" customFormat="false" ht="22.35" hidden="false" customHeight="false" outlineLevel="0" collapsed="false">
      <c r="A36" s="145" t="str">
        <f aca="false">'2nd Year Projections'!A36</f>
        <v>Professional Fees (legal, trademark, CPA)</v>
      </c>
      <c r="B36" s="146" t="n">
        <f aca="false">'2nd Year Projections'!N36</f>
        <v>3502</v>
      </c>
      <c r="C36" s="147"/>
      <c r="D36" s="43"/>
      <c r="E36" s="140"/>
    </row>
    <row r="37" customFormat="false" ht="15" hidden="false" customHeight="false" outlineLevel="0" collapsed="false">
      <c r="A37" s="145" t="str">
        <f aca="false">'2nd Year Projections'!A37</f>
        <v>Licenses, Permits &amp; Fees</v>
      </c>
      <c r="B37" s="146" t="n">
        <f aca="false">'2nd Year Projections'!N37</f>
        <v>618</v>
      </c>
      <c r="C37" s="147"/>
      <c r="D37" s="43"/>
      <c r="E37" s="140"/>
    </row>
    <row r="38" customFormat="false" ht="15" hidden="false" customHeight="false" outlineLevel="0" collapsed="false">
      <c r="A38" s="145" t="str">
        <f aca="false">'2nd Year Projections'!A38</f>
        <v>Brand &amp; Design</v>
      </c>
      <c r="B38" s="146" t="n">
        <f aca="false">'2nd Year Projections'!N38</f>
        <v>1500</v>
      </c>
      <c r="C38" s="147"/>
      <c r="D38" s="43"/>
      <c r="E38" s="140"/>
    </row>
    <row r="39" customFormat="false" ht="15" hidden="false" customHeight="false" outlineLevel="0" collapsed="false">
      <c r="A39" s="154" t="s">
        <v>171</v>
      </c>
      <c r="B39" s="67" t="n">
        <f aca="false">SUM(B21:B38)</f>
        <v>51992.2723648943</v>
      </c>
      <c r="C39" s="147"/>
      <c r="D39" s="158" t="s">
        <v>259</v>
      </c>
      <c r="E39" s="140" t="n">
        <f aca="false">B39/B9</f>
        <v>0.225837339783226</v>
      </c>
    </row>
    <row r="40" customFormat="false" ht="15" hidden="false" customHeight="false" outlineLevel="0" collapsed="false">
      <c r="A40" s="159"/>
      <c r="B40" s="53"/>
      <c r="C40" s="160"/>
      <c r="D40" s="54"/>
      <c r="E40" s="140"/>
    </row>
    <row r="41" customFormat="false" ht="15" hidden="false" customHeight="false" outlineLevel="0" collapsed="false">
      <c r="A41" s="70" t="s">
        <v>173</v>
      </c>
      <c r="B41" s="67" t="n">
        <f aca="false">B18-B39</f>
        <v>59607.7276351057</v>
      </c>
      <c r="C41" s="67"/>
      <c r="D41" s="56"/>
      <c r="E41" s="140" t="n">
        <f aca="false">IFERROR(B41/B9,"")</f>
        <v>0.258916374055711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8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A36" activeCellId="0" sqref="A36"/>
    </sheetView>
  </sheetViews>
  <sheetFormatPr defaultColWidth="7.859375" defaultRowHeight="15.75" zeroHeight="false" outlineLevelRow="0" outlineLevelCol="0"/>
  <cols>
    <col collapsed="false" customWidth="true" hidden="false" outlineLevel="0" max="1" min="1" style="100" width="47.57"/>
    <col collapsed="false" customWidth="true" hidden="false" outlineLevel="0" max="14" min="2" style="101" width="13.42"/>
    <col collapsed="false" customWidth="true" hidden="false" outlineLevel="0" max="15" min="15" style="101" width="17.57"/>
    <col collapsed="false" customWidth="false" hidden="false" outlineLevel="0" max="16384" min="16" style="101" width="7.86"/>
  </cols>
  <sheetData>
    <row r="1" customFormat="false" ht="36" hidden="false" customHeight="true" outlineLevel="0" collapsed="false">
      <c r="A1" s="102" t="s">
        <v>206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="104" customFormat="true" ht="15.75" hidden="false" customHeight="false" outlineLevel="0" collapsed="false">
      <c r="A2" s="103" t="s">
        <v>207</v>
      </c>
      <c r="G2" s="103" t="str">
        <f aca="false">'1st Year Projections'!B1</f>
        <v>Business Name: Colgrid</v>
      </c>
      <c r="H2" s="103"/>
      <c r="I2" s="103"/>
      <c r="M2" s="103"/>
      <c r="N2" s="105" t="s">
        <v>208</v>
      </c>
      <c r="O2" s="106" t="n">
        <f aca="false">'2nd Year Projections'!A2</f>
        <v>46753</v>
      </c>
    </row>
    <row r="3" customFormat="false" ht="30" hidden="false" customHeight="true" outlineLevel="0" collapsed="false">
      <c r="A3" s="107"/>
      <c r="B3" s="161" t="s">
        <v>209</v>
      </c>
      <c r="C3" s="109" t="n">
        <f aca="false">O2</f>
        <v>46753</v>
      </c>
      <c r="D3" s="109" t="n">
        <f aca="false">DATE(YEAR(C3),MONTH(C3)+1,1)</f>
        <v>46784</v>
      </c>
      <c r="E3" s="109" t="n">
        <f aca="false">DATE(YEAR(D3),MONTH(D3)+1,1)</f>
        <v>46813</v>
      </c>
      <c r="F3" s="109" t="n">
        <f aca="false">DATE(YEAR(E3),MONTH(E3)+1,1)</f>
        <v>46844</v>
      </c>
      <c r="G3" s="109" t="n">
        <f aca="false">DATE(YEAR(F3),MONTH(F3)+1,1)</f>
        <v>46874</v>
      </c>
      <c r="H3" s="109" t="n">
        <f aca="false">DATE(YEAR(G3),MONTH(G3)+1,1)</f>
        <v>46905</v>
      </c>
      <c r="I3" s="109" t="n">
        <f aca="false">DATE(YEAR(H3),MONTH(H3)+1,1)</f>
        <v>46935</v>
      </c>
      <c r="J3" s="109" t="n">
        <f aca="false">DATE(YEAR(I3),MONTH(I3)+1,1)</f>
        <v>46966</v>
      </c>
      <c r="K3" s="109" t="n">
        <f aca="false">DATE(YEAR(J3),MONTH(J3)+1,1)</f>
        <v>46997</v>
      </c>
      <c r="L3" s="109" t="n">
        <f aca="false">DATE(YEAR(K3),MONTH(K3)+1,1)</f>
        <v>47027</v>
      </c>
      <c r="M3" s="109" t="n">
        <f aca="false">DATE(YEAR(L3),MONTH(L3)+1,1)</f>
        <v>47058</v>
      </c>
      <c r="N3" s="109" t="n">
        <f aca="false">DATE(YEAR(M3),MONTH(M3)+1,1)</f>
        <v>47088</v>
      </c>
      <c r="O3" s="162" t="s">
        <v>261</v>
      </c>
    </row>
    <row r="4" customFormat="false" ht="15.75" hidden="false" customHeight="false" outlineLevel="0" collapsed="false">
      <c r="A4" s="163" t="s">
        <v>262</v>
      </c>
      <c r="B4" s="164"/>
      <c r="C4" s="164" t="n">
        <f aca="false">'Cash Flow 1st Year'!N38</f>
        <v>10000</v>
      </c>
      <c r="D4" s="164" t="n">
        <f aca="false">C38</f>
        <v>10000</v>
      </c>
      <c r="E4" s="164" t="n">
        <f aca="false">D38</f>
        <v>10000</v>
      </c>
      <c r="F4" s="164" t="n">
        <f aca="false">E38</f>
        <v>10000</v>
      </c>
      <c r="G4" s="164" t="n">
        <f aca="false">F38</f>
        <v>10000</v>
      </c>
      <c r="H4" s="164" t="n">
        <f aca="false">G38</f>
        <v>10000</v>
      </c>
      <c r="I4" s="164" t="n">
        <f aca="false">H38</f>
        <v>9198.64432933098</v>
      </c>
      <c r="J4" s="164" t="n">
        <f aca="false">I38</f>
        <v>10000</v>
      </c>
      <c r="K4" s="164" t="n">
        <f aca="false">J38</f>
        <v>10000</v>
      </c>
      <c r="L4" s="164" t="n">
        <f aca="false">K38</f>
        <v>9999.99999999999</v>
      </c>
      <c r="M4" s="164" t="n">
        <f aca="false">L38</f>
        <v>10000</v>
      </c>
      <c r="N4" s="164" t="n">
        <f aca="false">M38</f>
        <v>10000</v>
      </c>
      <c r="O4" s="164" t="n">
        <f aca="false">C4</f>
        <v>10000</v>
      </c>
    </row>
    <row r="5" customFormat="false" ht="15.75" hidden="false" customHeight="false" outlineLevel="0" collapsed="false">
      <c r="A5" s="117"/>
      <c r="B5" s="118"/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customFormat="false" ht="15.75" hidden="false" customHeight="false" outlineLevel="0" collapsed="false">
      <c r="A6" s="165" t="s">
        <v>211</v>
      </c>
      <c r="B6" s="166"/>
      <c r="C6" s="166"/>
      <c r="D6" s="166"/>
      <c r="E6" s="166"/>
      <c r="F6" s="166"/>
      <c r="G6" s="166"/>
      <c r="H6" s="166"/>
      <c r="I6" s="166"/>
      <c r="J6" s="166"/>
      <c r="K6" s="166"/>
      <c r="L6" s="166"/>
      <c r="M6" s="166"/>
      <c r="N6" s="166"/>
      <c r="O6" s="167"/>
    </row>
    <row r="7" customFormat="false" ht="15.75" hidden="false" customHeight="false" outlineLevel="0" collapsed="false">
      <c r="A7" s="168" t="s">
        <v>212</v>
      </c>
      <c r="B7" s="164"/>
      <c r="C7" s="164" t="n">
        <f aca="false">'2nd Year Projections'!B9</f>
        <v>21605</v>
      </c>
      <c r="D7" s="164" t="n">
        <f aca="false">'2nd Year Projections'!C9</f>
        <v>13005</v>
      </c>
      <c r="E7" s="164" t="n">
        <f aca="false">'2nd Year Projections'!D9</f>
        <v>18005</v>
      </c>
      <c r="F7" s="164" t="n">
        <f aca="false">'2nd Year Projections'!E9</f>
        <v>12285</v>
      </c>
      <c r="G7" s="164" t="n">
        <f aca="false">'2nd Year Projections'!F9</f>
        <v>12285</v>
      </c>
      <c r="H7" s="164" t="n">
        <f aca="false">'2nd Year Projections'!G9</f>
        <v>6080</v>
      </c>
      <c r="I7" s="164" t="n">
        <f aca="false">'2nd Year Projections'!H9</f>
        <v>24475</v>
      </c>
      <c r="J7" s="164" t="n">
        <f aca="false">'2nd Year Projections'!I9</f>
        <v>24475</v>
      </c>
      <c r="K7" s="164" t="n">
        <f aca="false">'2nd Year Projections'!J9</f>
        <v>62975</v>
      </c>
      <c r="L7" s="164" t="n">
        <f aca="false">'2nd Year Projections'!K9</f>
        <v>14475</v>
      </c>
      <c r="M7" s="164" t="n">
        <f aca="false">'2nd Year Projections'!L9</f>
        <v>14475</v>
      </c>
      <c r="N7" s="164" t="n">
        <f aca="false">'2nd Year Projections'!M9</f>
        <v>6080</v>
      </c>
      <c r="O7" s="164" t="n">
        <f aca="false">SUM(C7:N7)</f>
        <v>230220</v>
      </c>
    </row>
    <row r="8" customFormat="false" ht="15.75" hidden="false" customHeight="false" outlineLevel="0" collapsed="false">
      <c r="A8" s="169" t="s">
        <v>213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 t="n">
        <f aca="false">SUM(C8:N8)</f>
        <v>0</v>
      </c>
    </row>
    <row r="9" customFormat="false" ht="15.75" hidden="false" customHeight="false" outlineLevel="0" collapsed="false">
      <c r="A9" s="168" t="s">
        <v>263</v>
      </c>
      <c r="B9" s="164"/>
      <c r="C9" s="164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164" t="n">
        <f aca="false">SUM(C9:N9)</f>
        <v>0</v>
      </c>
    </row>
    <row r="10" customFormat="false" ht="15.75" hidden="false" customHeight="false" outlineLevel="0" collapsed="false">
      <c r="A10" s="135" t="s">
        <v>215</v>
      </c>
      <c r="B10" s="171" t="n">
        <f aca="false">SUM(B7:B9)</f>
        <v>0</v>
      </c>
      <c r="C10" s="171" t="n">
        <f aca="false">SUM(C7:C9)</f>
        <v>21605</v>
      </c>
      <c r="D10" s="171" t="n">
        <f aca="false">SUM(D7:D9)</f>
        <v>13005</v>
      </c>
      <c r="E10" s="171" t="n">
        <f aca="false">SUM(E7:E9)</f>
        <v>18005</v>
      </c>
      <c r="F10" s="171" t="n">
        <f aca="false">SUM(F7:F9)</f>
        <v>12285</v>
      </c>
      <c r="G10" s="171" t="n">
        <f aca="false">SUM(G7:G9)</f>
        <v>12285</v>
      </c>
      <c r="H10" s="171" t="n">
        <f aca="false">SUM(H7:H9)</f>
        <v>6080</v>
      </c>
      <c r="I10" s="171" t="n">
        <f aca="false">SUM(I7:I9)</f>
        <v>24475</v>
      </c>
      <c r="J10" s="171" t="n">
        <f aca="false">SUM(J7:J9)</f>
        <v>24475</v>
      </c>
      <c r="K10" s="171" t="n">
        <f aca="false">SUM(K7:K9)</f>
        <v>62975</v>
      </c>
      <c r="L10" s="171" t="n">
        <f aca="false">SUM(L7:L9)</f>
        <v>14475</v>
      </c>
      <c r="M10" s="171" t="n">
        <f aca="false">SUM(M7:M9)</f>
        <v>14475</v>
      </c>
      <c r="N10" s="171" t="n">
        <f aca="false">SUM(N7:N9)</f>
        <v>6080</v>
      </c>
      <c r="O10" s="171" t="n">
        <f aca="false">SUM(O7:O9)</f>
        <v>230220</v>
      </c>
    </row>
    <row r="11" customFormat="false" ht="15.75" hidden="false" customHeight="false" outlineLevel="0" collapsed="false">
      <c r="A11" s="163" t="s">
        <v>216</v>
      </c>
      <c r="B11" s="171" t="n">
        <f aca="false">(B4+B10)</f>
        <v>0</v>
      </c>
      <c r="C11" s="171" t="n">
        <f aca="false">(C4+C10)</f>
        <v>31605</v>
      </c>
      <c r="D11" s="171" t="n">
        <f aca="false">(D4+D10)</f>
        <v>23005</v>
      </c>
      <c r="E11" s="171" t="n">
        <f aca="false">(E4+E10)</f>
        <v>28005</v>
      </c>
      <c r="F11" s="171" t="n">
        <f aca="false">(F4+F10)</f>
        <v>22285</v>
      </c>
      <c r="G11" s="171" t="n">
        <f aca="false">(G4+G10)</f>
        <v>22285</v>
      </c>
      <c r="H11" s="171" t="n">
        <f aca="false">(H4+H10)</f>
        <v>16080</v>
      </c>
      <c r="I11" s="171" t="n">
        <f aca="false">(I4+I10)</f>
        <v>33673.644329331</v>
      </c>
      <c r="J11" s="171" t="n">
        <f aca="false">(J4+J10)</f>
        <v>34475</v>
      </c>
      <c r="K11" s="171" t="n">
        <f aca="false">(K4+K10)</f>
        <v>72975</v>
      </c>
      <c r="L11" s="171" t="n">
        <f aca="false">(L4+L10)</f>
        <v>24475</v>
      </c>
      <c r="M11" s="171" t="n">
        <f aca="false">(M4+M10)</f>
        <v>24475</v>
      </c>
      <c r="N11" s="171" t="n">
        <f aca="false">(N4+N10)</f>
        <v>16080</v>
      </c>
      <c r="O11" s="171" t="n">
        <f aca="false">(O4+O10)</f>
        <v>240220</v>
      </c>
    </row>
    <row r="12" customFormat="false" ht="15.75" hidden="false" customHeight="false" outlineLevel="0" collapsed="false">
      <c r="A12" s="131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132"/>
    </row>
    <row r="13" customFormat="false" ht="15.75" hidden="false" customHeight="false" outlineLevel="0" collapsed="false">
      <c r="A13" s="165" t="s">
        <v>217</v>
      </c>
      <c r="B13" s="172"/>
      <c r="C13" s="172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67"/>
    </row>
    <row r="14" customFormat="false" ht="15.75" hidden="false" customHeight="false" outlineLevel="0" collapsed="false">
      <c r="A14" s="168" t="str">
        <f aca="false">'2nd Year Projections'!A21</f>
        <v>Marketing </v>
      </c>
      <c r="B14" s="168"/>
      <c r="C14" s="173" t="n">
        <f aca="false">'2nd Year Projections'!B21</f>
        <v>1500</v>
      </c>
      <c r="D14" s="173" t="n">
        <f aca="false">'2nd Year Projections'!C21</f>
        <v>1500</v>
      </c>
      <c r="E14" s="173" t="n">
        <f aca="false">'2nd Year Projections'!D21</f>
        <v>1500</v>
      </c>
      <c r="F14" s="173" t="n">
        <f aca="false">'2nd Year Projections'!E21</f>
        <v>1500</v>
      </c>
      <c r="G14" s="173" t="n">
        <f aca="false">'2nd Year Projections'!F21</f>
        <v>1500</v>
      </c>
      <c r="H14" s="173" t="n">
        <f aca="false">'2nd Year Projections'!G21</f>
        <v>1500</v>
      </c>
      <c r="I14" s="173" t="n">
        <f aca="false">'2nd Year Projections'!H21</f>
        <v>1500</v>
      </c>
      <c r="J14" s="173" t="n">
        <f aca="false">'2nd Year Projections'!I21</f>
        <v>1500</v>
      </c>
      <c r="K14" s="173" t="n">
        <f aca="false">'2nd Year Projections'!J21</f>
        <v>1500</v>
      </c>
      <c r="L14" s="173" t="n">
        <f aca="false">'2nd Year Projections'!K21</f>
        <v>1500</v>
      </c>
      <c r="M14" s="173" t="n">
        <f aca="false">'2nd Year Projections'!L21</f>
        <v>1500</v>
      </c>
      <c r="N14" s="173" t="n">
        <f aca="false">'2nd Year Projections'!M21</f>
        <v>1500</v>
      </c>
      <c r="O14" s="164" t="n">
        <f aca="false">SUM(C14:N14)</f>
        <v>18000</v>
      </c>
    </row>
    <row r="15" customFormat="false" ht="15.75" hidden="false" customHeight="false" outlineLevel="0" collapsed="false">
      <c r="A15" s="122" t="str">
        <f aca="false">'2nd Year Projections'!A22</f>
        <v>Bank Charges </v>
      </c>
      <c r="B15" s="122"/>
      <c r="C15" s="123" t="n">
        <f aca="false">'2nd Year Projections'!B22</f>
        <v>20.6</v>
      </c>
      <c r="D15" s="123" t="n">
        <f aca="false">'2nd Year Projections'!C22</f>
        <v>20.6</v>
      </c>
      <c r="E15" s="123" t="n">
        <f aca="false">'2nd Year Projections'!D22</f>
        <v>20.6</v>
      </c>
      <c r="F15" s="123" t="n">
        <f aca="false">'2nd Year Projections'!E22</f>
        <v>20.6</v>
      </c>
      <c r="G15" s="123" t="n">
        <f aca="false">'2nd Year Projections'!F22</f>
        <v>20.6</v>
      </c>
      <c r="H15" s="123" t="n">
        <f aca="false">'2nd Year Projections'!G22</f>
        <v>20.6</v>
      </c>
      <c r="I15" s="123" t="n">
        <f aca="false">'2nd Year Projections'!H22</f>
        <v>20.6</v>
      </c>
      <c r="J15" s="123" t="n">
        <f aca="false">'2nd Year Projections'!I22</f>
        <v>20.6</v>
      </c>
      <c r="K15" s="123" t="n">
        <f aca="false">'2nd Year Projections'!J22</f>
        <v>20.6</v>
      </c>
      <c r="L15" s="123" t="n">
        <f aca="false">'2nd Year Projections'!K22</f>
        <v>20.6</v>
      </c>
      <c r="M15" s="123" t="n">
        <f aca="false">'2nd Year Projections'!L22</f>
        <v>20.6</v>
      </c>
      <c r="N15" s="123" t="n">
        <f aca="false">'2nd Year Projections'!M22</f>
        <v>20.6</v>
      </c>
      <c r="O15" s="170" t="n">
        <f aca="false">SUM(C15:N15)</f>
        <v>247.2</v>
      </c>
    </row>
    <row r="16" customFormat="false" ht="15.75" hidden="false" customHeight="false" outlineLevel="0" collapsed="false">
      <c r="A16" s="168" t="str">
        <f aca="false">'2nd Year Projections'!A23</f>
        <v>Car-Truck </v>
      </c>
      <c r="B16" s="168"/>
      <c r="C16" s="173" t="n">
        <f aca="false">'2nd Year Projections'!B23</f>
        <v>200</v>
      </c>
      <c r="D16" s="173" t="n">
        <f aca="false">'2nd Year Projections'!C23</f>
        <v>200</v>
      </c>
      <c r="E16" s="173" t="n">
        <f aca="false">'2nd Year Projections'!D23</f>
        <v>200</v>
      </c>
      <c r="F16" s="173" t="n">
        <f aca="false">'2nd Year Projections'!E23</f>
        <v>200</v>
      </c>
      <c r="G16" s="173" t="n">
        <f aca="false">'2nd Year Projections'!F23</f>
        <v>200</v>
      </c>
      <c r="H16" s="173" t="n">
        <f aca="false">'2nd Year Projections'!G23</f>
        <v>200</v>
      </c>
      <c r="I16" s="173" t="n">
        <f aca="false">'2nd Year Projections'!H23</f>
        <v>200</v>
      </c>
      <c r="J16" s="173" t="n">
        <f aca="false">'2nd Year Projections'!I23</f>
        <v>200</v>
      </c>
      <c r="K16" s="173" t="n">
        <f aca="false">'2nd Year Projections'!J23</f>
        <v>200</v>
      </c>
      <c r="L16" s="173" t="n">
        <f aca="false">'2nd Year Projections'!K23</f>
        <v>200</v>
      </c>
      <c r="M16" s="173" t="n">
        <f aca="false">'2nd Year Projections'!L23</f>
        <v>200</v>
      </c>
      <c r="N16" s="173" t="n">
        <f aca="false">'2nd Year Projections'!M23</f>
        <v>200</v>
      </c>
      <c r="O16" s="164" t="n">
        <f aca="false">SUM(C16:N16)</f>
        <v>2400</v>
      </c>
    </row>
    <row r="17" customFormat="false" ht="15.75" hidden="false" customHeight="false" outlineLevel="0" collapsed="false">
      <c r="A17" s="122" t="str">
        <f aca="false">'2nd Year Projections'!A24</f>
        <v>Utilities </v>
      </c>
      <c r="B17" s="122"/>
      <c r="C17" s="123" t="n">
        <f aca="false">'2nd Year Projections'!B24</f>
        <v>0</v>
      </c>
      <c r="D17" s="123" t="n">
        <f aca="false">'2nd Year Projections'!C24</f>
        <v>0</v>
      </c>
      <c r="E17" s="123" t="n">
        <f aca="false">'2nd Year Projections'!D24</f>
        <v>0</v>
      </c>
      <c r="F17" s="123" t="n">
        <f aca="false">'2nd Year Projections'!E24</f>
        <v>0</v>
      </c>
      <c r="G17" s="123" t="n">
        <f aca="false">'2nd Year Projections'!F24</f>
        <v>0</v>
      </c>
      <c r="H17" s="123" t="n">
        <f aca="false">'2nd Year Projections'!G24</f>
        <v>0</v>
      </c>
      <c r="I17" s="123" t="n">
        <f aca="false">'2nd Year Projections'!H24</f>
        <v>0</v>
      </c>
      <c r="J17" s="123" t="n">
        <f aca="false">'2nd Year Projections'!I24</f>
        <v>0</v>
      </c>
      <c r="K17" s="123" t="n">
        <f aca="false">'2nd Year Projections'!J24</f>
        <v>0</v>
      </c>
      <c r="L17" s="123" t="n">
        <f aca="false">'2nd Year Projections'!K24</f>
        <v>0</v>
      </c>
      <c r="M17" s="123" t="n">
        <f aca="false">'2nd Year Projections'!L24</f>
        <v>0</v>
      </c>
      <c r="N17" s="123" t="n">
        <f aca="false">'2nd Year Projections'!M24</f>
        <v>0</v>
      </c>
      <c r="O17" s="170" t="n">
        <f aca="false">SUM(C17:N17)</f>
        <v>0</v>
      </c>
    </row>
    <row r="18" customFormat="false" ht="15.75" hidden="false" customHeight="false" outlineLevel="0" collapsed="false">
      <c r="A18" s="168" t="str">
        <f aca="false">'2nd Year Projections'!A25</f>
        <v>Rent/Lease</v>
      </c>
      <c r="B18" s="168"/>
      <c r="C18" s="173" t="n">
        <f aca="false">'2nd Year Projections'!B25</f>
        <v>77.25</v>
      </c>
      <c r="D18" s="173" t="n">
        <f aca="false">'2nd Year Projections'!C25</f>
        <v>77.25</v>
      </c>
      <c r="E18" s="173" t="n">
        <f aca="false">'2nd Year Projections'!D25</f>
        <v>77.25</v>
      </c>
      <c r="F18" s="173" t="n">
        <f aca="false">'2nd Year Projections'!E25</f>
        <v>77.25</v>
      </c>
      <c r="G18" s="173" t="n">
        <f aca="false">'2nd Year Projections'!F25</f>
        <v>77.25</v>
      </c>
      <c r="H18" s="173" t="n">
        <f aca="false">'2nd Year Projections'!G25</f>
        <v>77.25</v>
      </c>
      <c r="I18" s="173" t="n">
        <f aca="false">'2nd Year Projections'!H25</f>
        <v>77.25</v>
      </c>
      <c r="J18" s="173" t="n">
        <f aca="false">'2nd Year Projections'!I25</f>
        <v>77.25</v>
      </c>
      <c r="K18" s="173" t="n">
        <f aca="false">'2nd Year Projections'!J25</f>
        <v>77.25</v>
      </c>
      <c r="L18" s="173" t="n">
        <f aca="false">'2nd Year Projections'!K25</f>
        <v>77.25</v>
      </c>
      <c r="M18" s="173" t="n">
        <f aca="false">'2nd Year Projections'!L25</f>
        <v>77.25</v>
      </c>
      <c r="N18" s="173" t="n">
        <f aca="false">'2nd Year Projections'!M25</f>
        <v>77.25</v>
      </c>
      <c r="O18" s="164" t="n">
        <f aca="false">SUM(C18:N18)</f>
        <v>927</v>
      </c>
    </row>
    <row r="19" customFormat="false" ht="15.75" hidden="false" customHeight="false" outlineLevel="0" collapsed="false">
      <c r="A19" s="122" t="str">
        <f aca="false">'2nd Year Projections'!A26</f>
        <v>Merchant Service Fees</v>
      </c>
      <c r="B19" s="122"/>
      <c r="C19" s="123" t="n">
        <f aca="false">'2nd Year Projections'!B26</f>
        <v>324.075</v>
      </c>
      <c r="D19" s="123" t="n">
        <f aca="false">'2nd Year Projections'!C26</f>
        <v>195.075</v>
      </c>
      <c r="E19" s="123" t="n">
        <f aca="false">'2nd Year Projections'!D26</f>
        <v>270.075</v>
      </c>
      <c r="F19" s="123" t="n">
        <f aca="false">'2nd Year Projections'!E26</f>
        <v>184.275</v>
      </c>
      <c r="G19" s="123" t="n">
        <f aca="false">'2nd Year Projections'!F26</f>
        <v>184.275</v>
      </c>
      <c r="H19" s="123" t="n">
        <f aca="false">'2nd Year Projections'!G26</f>
        <v>91.2</v>
      </c>
      <c r="I19" s="123" t="n">
        <f aca="false">'2nd Year Projections'!H26</f>
        <v>367.125</v>
      </c>
      <c r="J19" s="123" t="n">
        <f aca="false">'2nd Year Projections'!I26</f>
        <v>367.125</v>
      </c>
      <c r="K19" s="123" t="n">
        <f aca="false">'2nd Year Projections'!J26</f>
        <v>944.625</v>
      </c>
      <c r="L19" s="123" t="n">
        <f aca="false">'2nd Year Projections'!K26</f>
        <v>217.125</v>
      </c>
      <c r="M19" s="123" t="n">
        <f aca="false">'2nd Year Projections'!L26</f>
        <v>217.125</v>
      </c>
      <c r="N19" s="123" t="n">
        <f aca="false">'2nd Year Projections'!M26</f>
        <v>91.2</v>
      </c>
      <c r="O19" s="170" t="n">
        <f aca="false">SUM(C19:N19)</f>
        <v>3453.3</v>
      </c>
    </row>
    <row r="20" customFormat="false" ht="15.75" hidden="false" customHeight="false" outlineLevel="0" collapsed="false">
      <c r="A20" s="168" t="str">
        <f aca="false">'2nd Year Projections'!A27</f>
        <v>Office &amp; Supplies </v>
      </c>
      <c r="B20" s="168"/>
      <c r="C20" s="173" t="n">
        <f aca="false">'2nd Year Projections'!B27</f>
        <v>103</v>
      </c>
      <c r="D20" s="173" t="n">
        <f aca="false">'2nd Year Projections'!C27</f>
        <v>103</v>
      </c>
      <c r="E20" s="173" t="n">
        <f aca="false">'2nd Year Projections'!D27</f>
        <v>103</v>
      </c>
      <c r="F20" s="173" t="n">
        <f aca="false">'2nd Year Projections'!E27</f>
        <v>103</v>
      </c>
      <c r="G20" s="173" t="n">
        <f aca="false">'2nd Year Projections'!F27</f>
        <v>103</v>
      </c>
      <c r="H20" s="173" t="n">
        <f aca="false">'2nd Year Projections'!G27</f>
        <v>103</v>
      </c>
      <c r="I20" s="173" t="n">
        <f aca="false">'2nd Year Projections'!H27</f>
        <v>103</v>
      </c>
      <c r="J20" s="173" t="n">
        <f aca="false">'2nd Year Projections'!I27</f>
        <v>103</v>
      </c>
      <c r="K20" s="173" t="n">
        <f aca="false">'2nd Year Projections'!J27</f>
        <v>103</v>
      </c>
      <c r="L20" s="173" t="n">
        <f aca="false">'2nd Year Projections'!K27</f>
        <v>103</v>
      </c>
      <c r="M20" s="173" t="n">
        <f aca="false">'2nd Year Projections'!L27</f>
        <v>103</v>
      </c>
      <c r="N20" s="173" t="n">
        <f aca="false">'2nd Year Projections'!M27</f>
        <v>103</v>
      </c>
      <c r="O20" s="164" t="n">
        <f aca="false">SUM(C20:N20)</f>
        <v>1236</v>
      </c>
    </row>
    <row r="21" customFormat="false" ht="15.75" hidden="false" customHeight="false" outlineLevel="0" collapsed="false">
      <c r="A21" s="122" t="str">
        <f aca="false">'2nd Year Projections'!A28</f>
        <v>Office Meals / Entertainment</v>
      </c>
      <c r="B21" s="122"/>
      <c r="C21" s="123" t="n">
        <f aca="false">'2nd Year Projections'!B28</f>
        <v>77.25</v>
      </c>
      <c r="D21" s="123" t="n">
        <f aca="false">'2nd Year Projections'!C28</f>
        <v>77.25</v>
      </c>
      <c r="E21" s="123" t="n">
        <f aca="false">'2nd Year Projections'!D28</f>
        <v>77.25</v>
      </c>
      <c r="F21" s="123" t="n">
        <f aca="false">'2nd Year Projections'!E28</f>
        <v>77.25</v>
      </c>
      <c r="G21" s="123" t="n">
        <f aca="false">'2nd Year Projections'!F28</f>
        <v>77.25</v>
      </c>
      <c r="H21" s="123" t="n">
        <f aca="false">'2nd Year Projections'!G28</f>
        <v>77.25</v>
      </c>
      <c r="I21" s="123" t="n">
        <f aca="false">'2nd Year Projections'!H28</f>
        <v>77.25</v>
      </c>
      <c r="J21" s="123" t="n">
        <f aca="false">'2nd Year Projections'!I28</f>
        <v>77.25</v>
      </c>
      <c r="K21" s="123" t="n">
        <f aca="false">'2nd Year Projections'!J28</f>
        <v>77.25</v>
      </c>
      <c r="L21" s="123" t="n">
        <f aca="false">'2nd Year Projections'!K28</f>
        <v>77.25</v>
      </c>
      <c r="M21" s="123" t="n">
        <f aca="false">'2nd Year Projections'!L28</f>
        <v>77.25</v>
      </c>
      <c r="N21" s="123" t="n">
        <f aca="false">'2nd Year Projections'!M28</f>
        <v>77.25</v>
      </c>
      <c r="O21" s="170" t="n">
        <f aca="false">SUM(C21:N21)</f>
        <v>927</v>
      </c>
    </row>
    <row r="22" customFormat="false" ht="15.75" hidden="false" customHeight="false" outlineLevel="0" collapsed="false">
      <c r="A22" s="168" t="str">
        <f aca="false">'2nd Year Projections'!A29</f>
        <v>Repairs </v>
      </c>
      <c r="B22" s="168"/>
      <c r="C22" s="173" t="n">
        <f aca="false">'2nd Year Projections'!B29</f>
        <v>0</v>
      </c>
      <c r="D22" s="173" t="n">
        <f aca="false">'2nd Year Projections'!C29</f>
        <v>0</v>
      </c>
      <c r="E22" s="173" t="n">
        <f aca="false">'2nd Year Projections'!D29</f>
        <v>0</v>
      </c>
      <c r="F22" s="173" t="n">
        <f aca="false">'2nd Year Projections'!E29</f>
        <v>0</v>
      </c>
      <c r="G22" s="173" t="n">
        <f aca="false">'2nd Year Projections'!F29</f>
        <v>0</v>
      </c>
      <c r="H22" s="173" t="n">
        <f aca="false">'2nd Year Projections'!G29</f>
        <v>0</v>
      </c>
      <c r="I22" s="173" t="n">
        <f aca="false">'2nd Year Projections'!H29</f>
        <v>0</v>
      </c>
      <c r="J22" s="173" t="n">
        <f aca="false">'2nd Year Projections'!I29</f>
        <v>0</v>
      </c>
      <c r="K22" s="173" t="n">
        <f aca="false">'2nd Year Projections'!J29</f>
        <v>0</v>
      </c>
      <c r="L22" s="173" t="n">
        <f aca="false">'2nd Year Projections'!K29</f>
        <v>0</v>
      </c>
      <c r="M22" s="173" t="n">
        <f aca="false">'2nd Year Projections'!L29</f>
        <v>0</v>
      </c>
      <c r="N22" s="173" t="n">
        <f aca="false">'2nd Year Projections'!M29</f>
        <v>0</v>
      </c>
      <c r="O22" s="164" t="n">
        <f aca="false">SUM(C22:N22)</f>
        <v>0</v>
      </c>
    </row>
    <row r="23" customFormat="false" ht="15.75" hidden="false" customHeight="false" outlineLevel="0" collapsed="false">
      <c r="A23" s="122" t="str">
        <f aca="false">'2nd Year Projections'!A30</f>
        <v>Salary Expenses </v>
      </c>
      <c r="B23" s="122"/>
      <c r="C23" s="123" t="n">
        <f aca="false">'2nd Year Projections'!B30</f>
        <v>800</v>
      </c>
      <c r="D23" s="123" t="n">
        <f aca="false">'2nd Year Projections'!C30</f>
        <v>800</v>
      </c>
      <c r="E23" s="123" t="n">
        <f aca="false">'2nd Year Projections'!D30</f>
        <v>800</v>
      </c>
      <c r="F23" s="123" t="n">
        <f aca="false">'2nd Year Projections'!E30</f>
        <v>800</v>
      </c>
      <c r="G23" s="123" t="n">
        <f aca="false">'2nd Year Projections'!F30</f>
        <v>800</v>
      </c>
      <c r="H23" s="123" t="n">
        <f aca="false">'2nd Year Projections'!G30</f>
        <v>800</v>
      </c>
      <c r="I23" s="123" t="n">
        <f aca="false">'2nd Year Projections'!H30</f>
        <v>1600</v>
      </c>
      <c r="J23" s="123" t="n">
        <f aca="false">'2nd Year Projections'!I30</f>
        <v>1600</v>
      </c>
      <c r="K23" s="123" t="n">
        <f aca="false">'2nd Year Projections'!J30</f>
        <v>1600</v>
      </c>
      <c r="L23" s="123" t="n">
        <f aca="false">'2nd Year Projections'!K30</f>
        <v>1600</v>
      </c>
      <c r="M23" s="123" t="n">
        <f aca="false">'2nd Year Projections'!L30</f>
        <v>1600</v>
      </c>
      <c r="N23" s="123" t="n">
        <f aca="false">'2nd Year Projections'!M30</f>
        <v>1600</v>
      </c>
      <c r="O23" s="170" t="n">
        <f aca="false">SUM(C23:N23)</f>
        <v>14400</v>
      </c>
    </row>
    <row r="24" customFormat="false" ht="15.75" hidden="false" customHeight="false" outlineLevel="0" collapsed="false">
      <c r="A24" s="168" t="str">
        <f aca="false">'2nd Year Projections'!A31</f>
        <v>Telephone &amp; Internet</v>
      </c>
      <c r="B24" s="168"/>
      <c r="C24" s="173" t="n">
        <f aca="false">'2nd Year Projections'!B31</f>
        <v>77.25</v>
      </c>
      <c r="D24" s="173" t="n">
        <f aca="false">'2nd Year Projections'!C31</f>
        <v>77.25</v>
      </c>
      <c r="E24" s="173" t="n">
        <f aca="false">'2nd Year Projections'!D31</f>
        <v>77.25</v>
      </c>
      <c r="F24" s="173" t="n">
        <f aca="false">'2nd Year Projections'!E31</f>
        <v>77.25</v>
      </c>
      <c r="G24" s="173" t="n">
        <f aca="false">'2nd Year Projections'!F31</f>
        <v>77.25</v>
      </c>
      <c r="H24" s="173" t="n">
        <f aca="false">'2nd Year Projections'!G31</f>
        <v>77.25</v>
      </c>
      <c r="I24" s="173" t="n">
        <f aca="false">'2nd Year Projections'!H31</f>
        <v>77.25</v>
      </c>
      <c r="J24" s="173" t="n">
        <f aca="false">'2nd Year Projections'!I31</f>
        <v>77.25</v>
      </c>
      <c r="K24" s="173" t="n">
        <f aca="false">'2nd Year Projections'!J31</f>
        <v>77.25</v>
      </c>
      <c r="L24" s="173" t="n">
        <f aca="false">'2nd Year Projections'!K31</f>
        <v>77.25</v>
      </c>
      <c r="M24" s="173" t="n">
        <f aca="false">'2nd Year Projections'!L31</f>
        <v>77.25</v>
      </c>
      <c r="N24" s="173" t="n">
        <f aca="false">'2nd Year Projections'!M31</f>
        <v>77.25</v>
      </c>
      <c r="O24" s="164" t="n">
        <f aca="false">SUM(C24:N24)</f>
        <v>927</v>
      </c>
    </row>
    <row r="25" customFormat="false" ht="15.75" hidden="false" customHeight="false" outlineLevel="0" collapsed="false">
      <c r="A25" s="122" t="str">
        <f aca="false">'2nd Year Projections'!A32</f>
        <v>Insurance </v>
      </c>
      <c r="B25" s="122"/>
      <c r="C25" s="123" t="n">
        <f aca="false">'2nd Year Projections'!B32</f>
        <v>103</v>
      </c>
      <c r="D25" s="123" t="n">
        <f aca="false">'2nd Year Projections'!C32</f>
        <v>103</v>
      </c>
      <c r="E25" s="123" t="n">
        <f aca="false">'2nd Year Projections'!D32</f>
        <v>103</v>
      </c>
      <c r="F25" s="123" t="n">
        <f aca="false">'2nd Year Projections'!E32</f>
        <v>103</v>
      </c>
      <c r="G25" s="123" t="n">
        <f aca="false">'2nd Year Projections'!F32</f>
        <v>103</v>
      </c>
      <c r="H25" s="123" t="n">
        <f aca="false">'2nd Year Projections'!G32</f>
        <v>103</v>
      </c>
      <c r="I25" s="123" t="n">
        <f aca="false">'2nd Year Projections'!H32</f>
        <v>103</v>
      </c>
      <c r="J25" s="123" t="n">
        <f aca="false">'2nd Year Projections'!I32</f>
        <v>103</v>
      </c>
      <c r="K25" s="123" t="n">
        <f aca="false">'2nd Year Projections'!J32</f>
        <v>103</v>
      </c>
      <c r="L25" s="123" t="n">
        <f aca="false">'2nd Year Projections'!K32</f>
        <v>103</v>
      </c>
      <c r="M25" s="123" t="n">
        <f aca="false">'2nd Year Projections'!L32</f>
        <v>103</v>
      </c>
      <c r="N25" s="123" t="n">
        <f aca="false">'2nd Year Projections'!M32</f>
        <v>103</v>
      </c>
      <c r="O25" s="170" t="n">
        <f aca="false">SUM(C25:N25)</f>
        <v>1236</v>
      </c>
    </row>
    <row r="26" customFormat="false" ht="15.75" hidden="false" customHeight="false" outlineLevel="0" collapsed="false">
      <c r="A26" s="168" t="str">
        <f aca="false">'2nd Year Projections'!A33</f>
        <v>Interest Expense Loan #1</v>
      </c>
      <c r="B26" s="168"/>
      <c r="C26" s="173" t="n">
        <f aca="false">'2nd Year Projections'!B33</f>
        <v>104.716485043473</v>
      </c>
      <c r="D26" s="173" t="n">
        <f aca="false">'2nd Year Projections'!C33</f>
        <v>102.933241829927</v>
      </c>
      <c r="E26" s="173" t="n">
        <f aca="false">'2nd Year Projections'!D33</f>
        <v>101.135138256267</v>
      </c>
      <c r="F26" s="173" t="n">
        <f aca="false">'2nd Year Projections'!E33</f>
        <v>99.3220504861611</v>
      </c>
      <c r="G26" s="173" t="n">
        <f aca="false">'2nd Year Projections'!F33</f>
        <v>97.4938536513039</v>
      </c>
      <c r="H26" s="173" t="n">
        <f aca="false">'2nd Year Projections'!G33</f>
        <v>95.650421842823</v>
      </c>
      <c r="I26" s="173" t="n">
        <f aca="false">'2nd Year Projections'!H33</f>
        <v>93.7916281026047</v>
      </c>
      <c r="J26" s="173" t="n">
        <f aca="false">'2nd Year Projections'!I33</f>
        <v>91.9173444145512</v>
      </c>
      <c r="K26" s="173" t="n">
        <f aca="false">'2nd Year Projections'!J33</f>
        <v>90.0274416957639</v>
      </c>
      <c r="L26" s="173" t="n">
        <f aca="false">'2nd Year Projections'!K33</f>
        <v>88.1217897876534</v>
      </c>
      <c r="M26" s="173" t="n">
        <f aca="false">'2nd Year Projections'!L33</f>
        <v>86.2002574469753</v>
      </c>
      <c r="N26" s="173" t="n">
        <f aca="false">'2nd Year Projections'!M33</f>
        <v>84.2627123367916</v>
      </c>
      <c r="O26" s="164" t="n">
        <f aca="false">SUM(C26:N26)</f>
        <v>1135.57236489429</v>
      </c>
    </row>
    <row r="27" customFormat="false" ht="15.75" hidden="false" customHeight="false" outlineLevel="0" collapsed="false">
      <c r="A27" s="122" t="str">
        <f aca="false">'2nd Year Projections'!A34</f>
        <v>Interest Expense Loan #2</v>
      </c>
      <c r="B27" s="122"/>
      <c r="C27" s="123" t="n">
        <f aca="false">'2nd Year Projections'!B34</f>
        <v>0</v>
      </c>
      <c r="D27" s="123" t="n">
        <f aca="false">'2nd Year Projections'!C34</f>
        <v>0</v>
      </c>
      <c r="E27" s="123" t="n">
        <f aca="false">'2nd Year Projections'!D34</f>
        <v>0</v>
      </c>
      <c r="F27" s="123" t="n">
        <f aca="false">'2nd Year Projections'!E34</f>
        <v>0</v>
      </c>
      <c r="G27" s="123" t="n">
        <f aca="false">'2nd Year Projections'!F34</f>
        <v>0</v>
      </c>
      <c r="H27" s="123" t="n">
        <f aca="false">'2nd Year Projections'!G34</f>
        <v>0</v>
      </c>
      <c r="I27" s="123" t="n">
        <f aca="false">'2nd Year Projections'!H34</f>
        <v>0</v>
      </c>
      <c r="J27" s="123" t="n">
        <f aca="false">'2nd Year Projections'!I34</f>
        <v>0</v>
      </c>
      <c r="K27" s="123" t="n">
        <f aca="false">'2nd Year Projections'!J34</f>
        <v>0</v>
      </c>
      <c r="L27" s="123" t="n">
        <f aca="false">'2nd Year Projections'!K34</f>
        <v>0</v>
      </c>
      <c r="M27" s="123" t="n">
        <f aca="false">'2nd Year Projections'!L34</f>
        <v>0</v>
      </c>
      <c r="N27" s="123" t="n">
        <f aca="false">'2nd Year Projections'!M34</f>
        <v>0</v>
      </c>
      <c r="O27" s="170" t="n">
        <f aca="false">SUM(C27:N27)</f>
        <v>0</v>
      </c>
    </row>
    <row r="28" customFormat="false" ht="15.75" hidden="false" customHeight="false" outlineLevel="0" collapsed="false">
      <c r="A28" s="168" t="str">
        <f aca="false">'2nd Year Projections'!A35</f>
        <v>Software &amp; Web Pass</v>
      </c>
      <c r="B28" s="168"/>
      <c r="C28" s="173" t="n">
        <f aca="false">'2nd Year Projections'!B35</f>
        <v>123.6</v>
      </c>
      <c r="D28" s="173" t="n">
        <f aca="false">'2nd Year Projections'!C35</f>
        <v>123.6</v>
      </c>
      <c r="E28" s="173" t="n">
        <f aca="false">'2nd Year Projections'!D35</f>
        <v>123.6</v>
      </c>
      <c r="F28" s="173" t="n">
        <f aca="false">'2nd Year Projections'!E35</f>
        <v>123.6</v>
      </c>
      <c r="G28" s="173" t="n">
        <f aca="false">'2nd Year Projections'!F35</f>
        <v>123.6</v>
      </c>
      <c r="H28" s="173" t="n">
        <f aca="false">'2nd Year Projections'!G35</f>
        <v>123.6</v>
      </c>
      <c r="I28" s="173" t="n">
        <f aca="false">'2nd Year Projections'!H35</f>
        <v>123.6</v>
      </c>
      <c r="J28" s="173" t="n">
        <f aca="false">'2nd Year Projections'!I35</f>
        <v>123.6</v>
      </c>
      <c r="K28" s="173" t="n">
        <f aca="false">'2nd Year Projections'!J35</f>
        <v>123.6</v>
      </c>
      <c r="L28" s="173" t="n">
        <f aca="false">'2nd Year Projections'!K35</f>
        <v>123.6</v>
      </c>
      <c r="M28" s="173" t="n">
        <f aca="false">'2nd Year Projections'!L35</f>
        <v>123.6</v>
      </c>
      <c r="N28" s="173" t="n">
        <f aca="false">'2nd Year Projections'!M35</f>
        <v>123.6</v>
      </c>
      <c r="O28" s="164" t="n">
        <f aca="false">SUM(C28:N28)</f>
        <v>1483.2</v>
      </c>
    </row>
    <row r="29" customFormat="false" ht="15.75" hidden="false" customHeight="false" outlineLevel="0" collapsed="false">
      <c r="A29" s="122" t="str">
        <f aca="false">'2nd Year Projections'!A36</f>
        <v>Professional Fees (legal, trademark, CPA)</v>
      </c>
      <c r="B29" s="122"/>
      <c r="C29" s="123" t="n">
        <f aca="false">'2nd Year Projections'!B36</f>
        <v>1545</v>
      </c>
      <c r="D29" s="123" t="n">
        <f aca="false">'2nd Year Projections'!C36</f>
        <v>0</v>
      </c>
      <c r="E29" s="123" t="n">
        <f aca="false">'2nd Year Projections'!D36</f>
        <v>1030</v>
      </c>
      <c r="F29" s="123" t="n">
        <f aca="false">'2nd Year Projections'!E36</f>
        <v>103</v>
      </c>
      <c r="G29" s="123" t="n">
        <f aca="false">'2nd Year Projections'!F36</f>
        <v>103</v>
      </c>
      <c r="H29" s="123" t="n">
        <f aca="false">'2nd Year Projections'!G36</f>
        <v>103</v>
      </c>
      <c r="I29" s="123" t="n">
        <f aca="false">'2nd Year Projections'!H36</f>
        <v>103</v>
      </c>
      <c r="J29" s="123" t="n">
        <f aca="false">'2nd Year Projections'!I36</f>
        <v>103</v>
      </c>
      <c r="K29" s="123" t="n">
        <f aca="false">'2nd Year Projections'!J36</f>
        <v>103</v>
      </c>
      <c r="L29" s="123" t="n">
        <f aca="false">'2nd Year Projections'!K36</f>
        <v>103</v>
      </c>
      <c r="M29" s="123" t="n">
        <f aca="false">'2nd Year Projections'!L36</f>
        <v>103</v>
      </c>
      <c r="N29" s="123" t="n">
        <f aca="false">'2nd Year Projections'!M36</f>
        <v>103</v>
      </c>
      <c r="O29" s="170" t="n">
        <f aca="false">SUM(C29:N29)</f>
        <v>3502</v>
      </c>
    </row>
    <row r="30" customFormat="false" ht="15.75" hidden="false" customHeight="false" outlineLevel="0" collapsed="false">
      <c r="A30" s="168" t="str">
        <f aca="false">'2nd Year Projections'!A37</f>
        <v>Licenses, Permits &amp; Fees</v>
      </c>
      <c r="B30" s="168"/>
      <c r="C30" s="173" t="n">
        <f aca="false">'2nd Year Projections'!B37</f>
        <v>51.5</v>
      </c>
      <c r="D30" s="173" t="n">
        <f aca="false">'2nd Year Projections'!C37</f>
        <v>51.5</v>
      </c>
      <c r="E30" s="173" t="n">
        <f aca="false">'2nd Year Projections'!D37</f>
        <v>51.5</v>
      </c>
      <c r="F30" s="173" t="n">
        <f aca="false">'2nd Year Projections'!E37</f>
        <v>51.5</v>
      </c>
      <c r="G30" s="173" t="n">
        <f aca="false">'2nd Year Projections'!F37</f>
        <v>51.5</v>
      </c>
      <c r="H30" s="173" t="n">
        <f aca="false">'2nd Year Projections'!G37</f>
        <v>51.5</v>
      </c>
      <c r="I30" s="173" t="n">
        <f aca="false">'2nd Year Projections'!H37</f>
        <v>51.5</v>
      </c>
      <c r="J30" s="173" t="n">
        <f aca="false">'2nd Year Projections'!I37</f>
        <v>51.5</v>
      </c>
      <c r="K30" s="173" t="n">
        <f aca="false">'2nd Year Projections'!J37</f>
        <v>51.5</v>
      </c>
      <c r="L30" s="173" t="n">
        <f aca="false">'2nd Year Projections'!K37</f>
        <v>51.5</v>
      </c>
      <c r="M30" s="173" t="n">
        <f aca="false">'2nd Year Projections'!L37</f>
        <v>51.5</v>
      </c>
      <c r="N30" s="173" t="n">
        <f aca="false">'2nd Year Projections'!M37</f>
        <v>51.5</v>
      </c>
      <c r="O30" s="164" t="n">
        <f aca="false">SUM(C30:N30)</f>
        <v>618</v>
      </c>
    </row>
    <row r="31" customFormat="false" ht="15.75" hidden="false" customHeight="false" outlineLevel="0" collapsed="false">
      <c r="A31" s="122" t="str">
        <f aca="false">'2nd Year Projections'!A38</f>
        <v>Brand &amp; Design</v>
      </c>
      <c r="B31" s="122"/>
      <c r="C31" s="123" t="n">
        <f aca="false">'2nd Year Projections'!B38</f>
        <v>0</v>
      </c>
      <c r="D31" s="123" t="n">
        <f aca="false">'2nd Year Projections'!C38</f>
        <v>0</v>
      </c>
      <c r="E31" s="123" t="n">
        <f aca="false">'2nd Year Projections'!D38</f>
        <v>0</v>
      </c>
      <c r="F31" s="123" t="n">
        <f aca="false">'2nd Year Projections'!E38</f>
        <v>0</v>
      </c>
      <c r="G31" s="123" t="n">
        <f aca="false">'2nd Year Projections'!F38</f>
        <v>0</v>
      </c>
      <c r="H31" s="123" t="n">
        <f aca="false">'2nd Year Projections'!G38</f>
        <v>0</v>
      </c>
      <c r="I31" s="123" t="n">
        <f aca="false">'2nd Year Projections'!H38</f>
        <v>0</v>
      </c>
      <c r="J31" s="123" t="n">
        <f aca="false">'2nd Year Projections'!I38</f>
        <v>1500</v>
      </c>
      <c r="K31" s="123" t="n">
        <f aca="false">'2nd Year Projections'!J38</f>
        <v>0</v>
      </c>
      <c r="L31" s="123" t="n">
        <f aca="false">'2nd Year Projections'!K38</f>
        <v>0</v>
      </c>
      <c r="M31" s="123" t="n">
        <f aca="false">'2nd Year Projections'!L38</f>
        <v>0</v>
      </c>
      <c r="N31" s="123" t="n">
        <f aca="false">'2nd Year Projections'!M38</f>
        <v>0</v>
      </c>
      <c r="O31" s="170" t="n">
        <f aca="false">SUM(C31:N31)</f>
        <v>1500</v>
      </c>
    </row>
    <row r="32" customFormat="false" ht="15.75" hidden="false" customHeight="false" outlineLevel="0" collapsed="false">
      <c r="A32" s="168" t="s">
        <v>218</v>
      </c>
      <c r="B32" s="168"/>
      <c r="C32" s="173" t="n">
        <f aca="false">'Proposed Loan Details'!$A$7-'2nd Year Projections'!B33</f>
        <v>213.989185625551</v>
      </c>
      <c r="D32" s="173" t="n">
        <f aca="false">'Proposed Loan Details'!$A$7-'2nd Year Projections'!C33</f>
        <v>215.772428839097</v>
      </c>
      <c r="E32" s="173" t="n">
        <f aca="false">'Proposed Loan Details'!$A$7-'2nd Year Projections'!D33</f>
        <v>217.570532412757</v>
      </c>
      <c r="F32" s="173" t="n">
        <f aca="false">'Proposed Loan Details'!$A$7-'2nd Year Projections'!E33</f>
        <v>219.383620182863</v>
      </c>
      <c r="G32" s="173" t="n">
        <f aca="false">'Proposed Loan Details'!$A$7-'2nd Year Projections'!F33</f>
        <v>221.21181701772</v>
      </c>
      <c r="H32" s="173" t="n">
        <f aca="false">'Proposed Loan Details'!$A$7-'2nd Year Projections'!G33</f>
        <v>223.055248826201</v>
      </c>
      <c r="I32" s="173" t="n">
        <f aca="false">'Proposed Loan Details'!$A$7-'2nd Year Projections'!H33</f>
        <v>224.914042566419</v>
      </c>
      <c r="J32" s="173" t="n">
        <f aca="false">'Proposed Loan Details'!$A$7-'2nd Year Projections'!I33</f>
        <v>226.788326254473</v>
      </c>
      <c r="K32" s="173" t="n">
        <f aca="false">'Proposed Loan Details'!$A$7-'2nd Year Projections'!J33</f>
        <v>228.67822897326</v>
      </c>
      <c r="L32" s="173" t="n">
        <f aca="false">'Proposed Loan Details'!$A$7-'2nd Year Projections'!K33</f>
        <v>230.583880881371</v>
      </c>
      <c r="M32" s="173" t="n">
        <f aca="false">'Proposed Loan Details'!$A$7-'2nd Year Projections'!L33</f>
        <v>232.505413222049</v>
      </c>
      <c r="N32" s="173" t="n">
        <f aca="false">'Proposed Loan Details'!$A$7-'2nd Year Projections'!M33</f>
        <v>234.442958332233</v>
      </c>
      <c r="O32" s="164" t="n">
        <f aca="false">SUM(C32:N32)</f>
        <v>2688.89568313399</v>
      </c>
    </row>
    <row r="33" customFormat="false" ht="15.75" hidden="false" customHeight="false" outlineLevel="0" collapsed="false">
      <c r="A33" s="135" t="s">
        <v>219</v>
      </c>
      <c r="B33" s="171" t="n">
        <f aca="false">SUM(B14:B32)</f>
        <v>0</v>
      </c>
      <c r="C33" s="171" t="n">
        <f aca="false">SUM(C14:C32)</f>
        <v>5321.23067066902</v>
      </c>
      <c r="D33" s="171" t="n">
        <f aca="false">SUM(D14:D32)</f>
        <v>3647.23067066902</v>
      </c>
      <c r="E33" s="171" t="n">
        <f aca="false">SUM(E14:E32)</f>
        <v>4752.23067066902</v>
      </c>
      <c r="F33" s="171" t="n">
        <f aca="false">SUM(F14:F32)</f>
        <v>3739.43067066902</v>
      </c>
      <c r="G33" s="171" t="n">
        <f aca="false">SUM(G14:G32)</f>
        <v>3739.43067066902</v>
      </c>
      <c r="H33" s="171" t="n">
        <f aca="false">SUM(H14:H32)</f>
        <v>3646.35567066902</v>
      </c>
      <c r="I33" s="171" t="n">
        <f aca="false">SUM(I14:I32)</f>
        <v>4722.28067066902</v>
      </c>
      <c r="J33" s="171" t="n">
        <f aca="false">SUM(J14:J32)</f>
        <v>6222.28067066902</v>
      </c>
      <c r="K33" s="171" t="n">
        <f aca="false">SUM(K14:K32)</f>
        <v>5299.78067066902</v>
      </c>
      <c r="L33" s="171" t="n">
        <f aca="false">SUM(L14:L32)</f>
        <v>4572.28067066902</v>
      </c>
      <c r="M33" s="171" t="n">
        <f aca="false">SUM(M14:M32)</f>
        <v>4572.28067066902</v>
      </c>
      <c r="N33" s="171" t="n">
        <f aca="false">SUM(N14:N32)</f>
        <v>4446.35567066902</v>
      </c>
      <c r="O33" s="171" t="n">
        <f aca="false">SUM(O14:O32)</f>
        <v>54681.1680480283</v>
      </c>
    </row>
    <row r="34" customFormat="false" ht="15.75" hidden="false" customHeight="false" outlineLevel="0" collapsed="false">
      <c r="A34" s="122" t="s">
        <v>220</v>
      </c>
      <c r="B34" s="170"/>
      <c r="C34" s="170" t="n">
        <f aca="false">'2nd Year Projections'!B16</f>
        <v>9835</v>
      </c>
      <c r="D34" s="170" t="n">
        <f aca="false">'2nd Year Projections'!C16</f>
        <v>7085</v>
      </c>
      <c r="E34" s="170" t="n">
        <f aca="false">'2nd Year Projections'!D16</f>
        <v>7585</v>
      </c>
      <c r="F34" s="170" t="n">
        <f aca="false">'2nd Year Projections'!E16</f>
        <v>6635</v>
      </c>
      <c r="G34" s="170" t="n">
        <f aca="false">'2nd Year Projections'!F16</f>
        <v>6635</v>
      </c>
      <c r="H34" s="170" t="n">
        <f aca="false">'2nd Year Projections'!G16</f>
        <v>3235</v>
      </c>
      <c r="I34" s="170" t="n">
        <f aca="false">'2nd Year Projections'!H16</f>
        <v>8835</v>
      </c>
      <c r="J34" s="170" t="n">
        <f aca="false">'2nd Year Projections'!I16</f>
        <v>8835</v>
      </c>
      <c r="K34" s="170" t="n">
        <f aca="false">'2nd Year Projections'!J16</f>
        <v>41035</v>
      </c>
      <c r="L34" s="170" t="n">
        <f aca="false">'2nd Year Projections'!K16</f>
        <v>7835</v>
      </c>
      <c r="M34" s="170" t="n">
        <f aca="false">'2nd Year Projections'!L16</f>
        <v>7835</v>
      </c>
      <c r="N34" s="170" t="n">
        <f aca="false">'2nd Year Projections'!M16</f>
        <v>3235</v>
      </c>
      <c r="O34" s="170" t="n">
        <f aca="false">SUM(C34:N34)</f>
        <v>118620</v>
      </c>
    </row>
    <row r="35" customFormat="false" ht="15.75" hidden="false" customHeight="false" outlineLevel="0" collapsed="false">
      <c r="A35" s="168" t="s">
        <v>221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  <c r="O35" s="164" t="n">
        <f aca="false">SUM(C35:N35)</f>
        <v>0</v>
      </c>
    </row>
    <row r="36" customFormat="false" ht="15.75" hidden="false" customHeight="false" outlineLevel="0" collapsed="false">
      <c r="A36" s="168" t="s">
        <v>222</v>
      </c>
      <c r="B36" s="164"/>
      <c r="C36" s="164" t="n">
        <f aca="false">MIN('Cash Flow 1st Year'!N48+Assumptions!$B$43,MAX(0,C11-C33-C34-C35-Assumptions!$B$44))</f>
        <v>6448.76932933098</v>
      </c>
      <c r="D36" s="164" t="n">
        <f aca="false">MIN(C48+Assumptions!$B$43,MAX(0,D11-D33-D34-D35-Assumptions!$B$44))</f>
        <v>2272.76932933098</v>
      </c>
      <c r="E36" s="164" t="n">
        <f aca="false">MIN(D48+Assumptions!$B$43,MAX(0,E11-E33-E34-E35-Assumptions!$B$44))</f>
        <v>5667.76932933098</v>
      </c>
      <c r="F36" s="164" t="n">
        <f aca="false">MIN(E48+Assumptions!$B$43,MAX(0,F11-F33-F34-F35-Assumptions!$B$44))</f>
        <v>1910.56932933097</v>
      </c>
      <c r="G36" s="164" t="n">
        <f aca="false">MIN(F48+Assumptions!$B$43,MAX(0,G11-G33-G34-G35-Assumptions!$B$44))</f>
        <v>1910.56932933097</v>
      </c>
      <c r="H36" s="164" t="n">
        <f aca="false">MIN(G48+Assumptions!$B$43,MAX(0,H11-H33-H34-H35-Assumptions!$B$44))</f>
        <v>0</v>
      </c>
      <c r="I36" s="164" t="n">
        <f aca="false">MIN(H48+Assumptions!$B$43,MAX(0,I11-I33-I34-I35-Assumptions!$B$44))</f>
        <v>10116.363658662</v>
      </c>
      <c r="J36" s="164" t="n">
        <f aca="false">MIN(I48+Assumptions!$B$43,MAX(0,J11-J33-J34-J35-Assumptions!$B$44))</f>
        <v>9417.71932933098</v>
      </c>
      <c r="K36" s="164" t="n">
        <f aca="false">MIN(J48+Assumptions!$B$43,MAX(0,K11-K33-K34-K35-Assumptions!$B$44))</f>
        <v>16640.219329331</v>
      </c>
      <c r="L36" s="164" t="n">
        <f aca="false">MIN(K48+Assumptions!$B$43,MAX(0,L11-L33-L34-L35-Assumptions!$B$44))</f>
        <v>2067.71932933097</v>
      </c>
      <c r="M36" s="164" t="n">
        <f aca="false">MIN(L48+Assumptions!$B$43,MAX(0,M11-M33-M34-M35-Assumptions!$B$44))</f>
        <v>2067.71932933098</v>
      </c>
      <c r="N36" s="164" t="n">
        <f aca="false">MIN(M48+Assumptions!$B$43,MAX(0,N11-N33-N34-N35-Assumptions!$B$44))</f>
        <v>0</v>
      </c>
      <c r="O36" s="164" t="n">
        <f aca="false">SUM(C36:N36)</f>
        <v>58520.1876226407</v>
      </c>
    </row>
    <row r="37" customFormat="false" ht="15.75" hidden="false" customHeight="false" outlineLevel="0" collapsed="false">
      <c r="A37" s="135" t="s">
        <v>223</v>
      </c>
      <c r="B37" s="171" t="n">
        <f aca="false">SUM(B33:B36)</f>
        <v>0</v>
      </c>
      <c r="C37" s="171" t="n">
        <f aca="false">SUM(C33:C36)</f>
        <v>21605</v>
      </c>
      <c r="D37" s="171" t="n">
        <f aca="false">SUM(D33:D36)</f>
        <v>13005</v>
      </c>
      <c r="E37" s="171" t="n">
        <f aca="false">SUM(E33:E36)</f>
        <v>18005</v>
      </c>
      <c r="F37" s="171" t="n">
        <f aca="false">SUM(F33:F36)</f>
        <v>12285</v>
      </c>
      <c r="G37" s="171" t="n">
        <f aca="false">SUM(G33:G36)</f>
        <v>12285</v>
      </c>
      <c r="H37" s="171" t="n">
        <f aca="false">SUM(H33:H36)</f>
        <v>6881.35567066902</v>
      </c>
      <c r="I37" s="171" t="n">
        <f aca="false">SUM(I33:I36)</f>
        <v>23673.644329331</v>
      </c>
      <c r="J37" s="171" t="n">
        <f aca="false">SUM(J33:J36)</f>
        <v>24475</v>
      </c>
      <c r="K37" s="171" t="n">
        <f aca="false">SUM(K33:K36)</f>
        <v>62975</v>
      </c>
      <c r="L37" s="171" t="n">
        <f aca="false">SUM(L33:L36)</f>
        <v>14475</v>
      </c>
      <c r="M37" s="171" t="n">
        <f aca="false">SUM(M33:M36)</f>
        <v>14475</v>
      </c>
      <c r="N37" s="171" t="n">
        <f aca="false">SUM(N33:N36)</f>
        <v>7681.35567066902</v>
      </c>
      <c r="O37" s="171" t="n">
        <f aca="false">SUM(O33:O36)</f>
        <v>231821.355670669</v>
      </c>
    </row>
    <row r="38" customFormat="false" ht="15.75" hidden="false" customHeight="false" outlineLevel="0" collapsed="false">
      <c r="A38" s="163" t="s">
        <v>224</v>
      </c>
      <c r="B38" s="171" t="n">
        <f aca="false">(B11-B37)</f>
        <v>0</v>
      </c>
      <c r="C38" s="171" t="n">
        <f aca="false">(C11-C37)</f>
        <v>10000</v>
      </c>
      <c r="D38" s="171" t="n">
        <f aca="false">(D11-D37)</f>
        <v>10000</v>
      </c>
      <c r="E38" s="171" t="n">
        <f aca="false">(E11-E37)</f>
        <v>10000</v>
      </c>
      <c r="F38" s="171" t="n">
        <f aca="false">(F11-F37)</f>
        <v>10000</v>
      </c>
      <c r="G38" s="171" t="n">
        <f aca="false">(G11-G37)</f>
        <v>10000</v>
      </c>
      <c r="H38" s="171" t="n">
        <f aca="false">(H11-H37)</f>
        <v>9198.64432933098</v>
      </c>
      <c r="I38" s="171" t="n">
        <f aca="false">(I11-I37)</f>
        <v>10000</v>
      </c>
      <c r="J38" s="171" t="n">
        <f aca="false">(J11-J37)</f>
        <v>10000</v>
      </c>
      <c r="K38" s="171" t="n">
        <f aca="false">(K11-K37)</f>
        <v>9999.99999999999</v>
      </c>
      <c r="L38" s="171" t="n">
        <f aca="false">(L11-L37)</f>
        <v>10000</v>
      </c>
      <c r="M38" s="171" t="n">
        <f aca="false">(M11-M37)</f>
        <v>10000</v>
      </c>
      <c r="N38" s="171" t="n">
        <f aca="false">(N11-N37)</f>
        <v>8398.64432933098</v>
      </c>
      <c r="O38" s="171" t="n">
        <f aca="false">(O11-O37)</f>
        <v>8398.644329331</v>
      </c>
    </row>
    <row r="39" customFormat="false" ht="15.75" hidden="false" customHeight="false" outlineLevel="0" collapsed="false">
      <c r="A39" s="107"/>
    </row>
    <row r="40" customFormat="false" ht="15.75" hidden="false" customHeight="false" outlineLevel="0" collapsed="false">
      <c r="A40" s="174" t="s">
        <v>226</v>
      </c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6"/>
    </row>
    <row r="41" customFormat="false" ht="15.75" hidden="false" customHeight="false" outlineLevel="0" collapsed="false">
      <c r="A41" s="168" t="s">
        <v>227</v>
      </c>
      <c r="B41" s="164"/>
      <c r="C41" s="164" t="n">
        <f aca="false">C7</f>
        <v>21605</v>
      </c>
      <c r="D41" s="164" t="n">
        <f aca="false">D7</f>
        <v>13005</v>
      </c>
      <c r="E41" s="164" t="n">
        <f aca="false">E7</f>
        <v>18005</v>
      </c>
      <c r="F41" s="164" t="n">
        <f aca="false">F7</f>
        <v>12285</v>
      </c>
      <c r="G41" s="164" t="n">
        <f aca="false">G7</f>
        <v>12285</v>
      </c>
      <c r="H41" s="164" t="n">
        <f aca="false">H7</f>
        <v>6080</v>
      </c>
      <c r="I41" s="164" t="n">
        <f aca="false">I7</f>
        <v>24475</v>
      </c>
      <c r="J41" s="164" t="n">
        <f aca="false">J7</f>
        <v>24475</v>
      </c>
      <c r="K41" s="164" t="n">
        <f aca="false">K7</f>
        <v>62975</v>
      </c>
      <c r="L41" s="164" t="n">
        <f aca="false">L7</f>
        <v>14475</v>
      </c>
      <c r="M41" s="164" t="n">
        <f aca="false">M7</f>
        <v>14475</v>
      </c>
      <c r="N41" s="164" t="n">
        <f aca="false">N7</f>
        <v>6080</v>
      </c>
      <c r="O41" s="164" t="n">
        <f aca="false">SUM(C41:N41)</f>
        <v>230220</v>
      </c>
    </row>
    <row r="42" customFormat="false" ht="15.75" hidden="false" customHeight="false" outlineLevel="0" collapsed="false">
      <c r="A42" s="122" t="s">
        <v>228</v>
      </c>
      <c r="B42" s="170"/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</row>
    <row r="43" customFormat="false" ht="15.75" hidden="false" customHeight="false" outlineLevel="0" collapsed="false">
      <c r="A43" s="168" t="s">
        <v>229</v>
      </c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</row>
    <row r="44" customFormat="false" ht="15.75" hidden="false" customHeight="false" outlineLevel="0" collapsed="false">
      <c r="A44" s="169" t="s">
        <v>230</v>
      </c>
      <c r="B44" s="170"/>
      <c r="C44" s="170"/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</row>
    <row r="45" customFormat="false" ht="15.75" hidden="false" customHeight="false" outlineLevel="0" collapsed="false">
      <c r="A45" s="168" t="s">
        <v>231</v>
      </c>
      <c r="B45" s="164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</row>
    <row r="46" customFormat="false" ht="15.75" hidden="false" customHeight="false" outlineLevel="0" collapsed="false">
      <c r="A46" s="122" t="s">
        <v>232</v>
      </c>
      <c r="B46" s="170"/>
      <c r="C46" s="17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</row>
    <row r="47" customFormat="false" ht="15.75" hidden="false" customHeight="false" outlineLevel="0" collapsed="false">
      <c r="A47" s="3" t="s">
        <v>233</v>
      </c>
      <c r="C47" s="10" t="n">
        <f aca="false">Assumptions!$B$43</f>
        <v>5000</v>
      </c>
      <c r="D47" s="10" t="n">
        <f aca="false">Assumptions!$B$43</f>
        <v>5000</v>
      </c>
      <c r="E47" s="10" t="n">
        <f aca="false">Assumptions!$B$43</f>
        <v>5000</v>
      </c>
      <c r="F47" s="10" t="n">
        <f aca="false">Assumptions!$B$43</f>
        <v>5000</v>
      </c>
      <c r="G47" s="10" t="n">
        <f aca="false">Assumptions!$B$43</f>
        <v>5000</v>
      </c>
      <c r="H47" s="10" t="n">
        <f aca="false">Assumptions!$B$43</f>
        <v>5000</v>
      </c>
      <c r="I47" s="10" t="n">
        <f aca="false">Assumptions!$B$43</f>
        <v>5000</v>
      </c>
      <c r="J47" s="10" t="n">
        <f aca="false">Assumptions!$B$43</f>
        <v>5000</v>
      </c>
      <c r="K47" s="10" t="n">
        <f aca="false">Assumptions!$B$43</f>
        <v>5000</v>
      </c>
      <c r="L47" s="10" t="n">
        <f aca="false">Assumptions!$B$43</f>
        <v>5000</v>
      </c>
      <c r="M47" s="10" t="n">
        <f aca="false">Assumptions!$B$43</f>
        <v>5000</v>
      </c>
      <c r="N47" s="10" t="n">
        <f aca="false">Assumptions!$B$43</f>
        <v>5000</v>
      </c>
      <c r="O47" s="101" t="n">
        <f aca="false">SUM(C47:N47)</f>
        <v>60000</v>
      </c>
    </row>
    <row r="48" customFormat="false" ht="15.75" hidden="false" customHeight="false" outlineLevel="0" collapsed="false">
      <c r="A48" s="3" t="s">
        <v>234</v>
      </c>
      <c r="C48" s="10" t="n">
        <f aca="false">'Cash Flow 1st Year'!N48+C47-C36</f>
        <v>51151.1737186973</v>
      </c>
      <c r="D48" s="10" t="n">
        <f aca="false">C48+D47-D36</f>
        <v>53878.4043893663</v>
      </c>
      <c r="E48" s="10" t="n">
        <f aca="false">D48+E47-E36</f>
        <v>53210.6350600354</v>
      </c>
      <c r="F48" s="10" t="n">
        <f aca="false">E48+F47-F36</f>
        <v>56300.0657307044</v>
      </c>
      <c r="G48" s="10" t="n">
        <f aca="false">F48+G47-G36</f>
        <v>59389.4964013734</v>
      </c>
      <c r="H48" s="10" t="n">
        <f aca="false">G48+H47-H36</f>
        <v>64389.4964013734</v>
      </c>
      <c r="I48" s="10" t="n">
        <f aca="false">H48+I47-I36</f>
        <v>59273.1327427115</v>
      </c>
      <c r="J48" s="10" t="n">
        <f aca="false">I48+J47-J36</f>
        <v>54855.4134133805</v>
      </c>
      <c r="K48" s="10" t="n">
        <f aca="false">J48+K47-K36</f>
        <v>43215.1940840495</v>
      </c>
      <c r="L48" s="10" t="n">
        <f aca="false">K48+L47-L36</f>
        <v>46147.4747547185</v>
      </c>
      <c r="M48" s="10" t="n">
        <f aca="false">L48+M47-M36</f>
        <v>49079.7554253876</v>
      </c>
      <c r="N48" s="10" t="n">
        <f aca="false">M48+N47-N36</f>
        <v>54079.7554253876</v>
      </c>
      <c r="O48" s="116" t="n">
        <f aca="false">N48</f>
        <v>54079.7554253876</v>
      </c>
    </row>
  </sheetData>
  <mergeCells count="1">
    <mergeCell ref="A1:O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2020-05-14T15:10:12Z</dcterms:created>
  <dc:creator>Joseph Guimond</dc:creator>
  <dc:description/>
  <dc:language>en-US</dc:language>
  <cp:lastModifiedBy>Braden Saddler</cp:lastModifiedBy>
  <dcterms:modified xsi:type="dcterms:W3CDTF">2026-09-28T08:43:40Z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0x01010036E6B8FAED4CA74B8FDE1E52C7CA1E27</vt:lpwstr>
  </property>
  <property fmtid="{D5CDD505-2E9C-101B-9397-08002B2CF9AE}" pid="3" name="MSIP_Label_b2ac524c-8195-4075-b74a-c36ab363e78b_ActionId">
    <vt:lpwstr>5d1550f7-924d-4ef7-8535-2a22eac7639d</vt:lpwstr>
  </property>
  <property fmtid="{D5CDD505-2E9C-101B-9397-08002B2CF9AE}" pid="4" name="MSIP_Label_b2ac524c-8195-4075-b74a-c36ab363e78b_ContentBits">
    <vt:lpwstr>0</vt:lpwstr>
  </property>
  <property fmtid="{D5CDD505-2E9C-101B-9397-08002B2CF9AE}" pid="5" name="MSIP_Label_b2ac524c-8195-4075-b74a-c36ab363e78b_Enabled">
    <vt:lpwstr>true</vt:lpwstr>
  </property>
  <property fmtid="{D5CDD505-2E9C-101B-9397-08002B2CF9AE}" pid="6" name="MSIP_Label_b2ac524c-8195-4075-b74a-c36ab363e78b_Method">
    <vt:lpwstr>Standard</vt:lpwstr>
  </property>
  <property fmtid="{D5CDD505-2E9C-101B-9397-08002B2CF9AE}" pid="7" name="MSIP_Label_b2ac524c-8195-4075-b74a-c36ab363e78b_Name">
    <vt:lpwstr>Internal</vt:lpwstr>
  </property>
  <property fmtid="{D5CDD505-2E9C-101B-9397-08002B2CF9AE}" pid="8" name="MSIP_Label_b2ac524c-8195-4075-b74a-c36ab363e78b_SetDate">
    <vt:lpwstr>2023-08-24T17:43:56Z</vt:lpwstr>
  </property>
  <property fmtid="{D5CDD505-2E9C-101B-9397-08002B2CF9AE}" pid="9" name="MSIP_Label_b2ac524c-8195-4075-b74a-c36ab363e78b_SiteId">
    <vt:lpwstr>c38f90d0-da54-455b-b1ae-c43b6009d294</vt:lpwstr>
  </property>
  <property fmtid="{D5CDD505-2E9C-101B-9397-08002B2CF9AE}" pid="10" name="_dlc_DocIdItemGuid">
    <vt:lpwstr>efb99fc1-9f8f-4b3d-9982-f59a924419c6</vt:lpwstr>
  </property>
</Properties>
</file>